
<file path=[Content_Types].xml><?xml version="1.0" encoding="utf-8"?>
<Types xmlns="http://schemas.openxmlformats.org/package/2006/content-types">
  <Default Extension="png" ContentType="image/png"/>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Override PartName="/xl/drawings/drawing4.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10" yWindow="-110" windowWidth="19420" windowHeight="11020" activeTab="2"/>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 i="9"/>
  <c r="E7"/>
  <c r="D7"/>
  <c r="G6"/>
  <c r="F6"/>
  <c r="E6"/>
  <c r="D8" l="1"/>
  <c r="G7"/>
  <c r="F7"/>
  <c r="G8" l="1"/>
  <c r="F8"/>
</calcChain>
</file>

<file path=xl/sharedStrings.xml><?xml version="1.0" encoding="utf-8"?>
<sst xmlns="http://schemas.openxmlformats.org/spreadsheetml/2006/main" count="191" uniqueCount="136">
  <si>
    <t>E-Banking Management System</t>
  </si>
  <si>
    <t>Product Backlog</t>
  </si>
  <si>
    <t>Prepared By / Last Updated By</t>
  </si>
  <si>
    <t>Reviewed By</t>
  </si>
  <si>
    <t>Approved By</t>
  </si>
  <si>
    <t>Name</t>
  </si>
  <si>
    <t>Safoora Afzal,Prakash Gupta,Sathwika Kodam,John Emmanuel</t>
  </si>
  <si>
    <t>Role</t>
  </si>
  <si>
    <t>POD Leader,POD Members</t>
  </si>
  <si>
    <t>Signature</t>
  </si>
  <si>
    <t xml:space="preserve">Safoora Afzal - 2126180
Prakash Gupta-2118838 Sathwika Kodam- 2126145 John Emmanuel-2125035
</t>
  </si>
  <si>
    <t>Date</t>
  </si>
  <si>
    <t>Release ID: QTAD-PBL / 2.0.0 / 30-Mar-2015</t>
  </si>
  <si>
    <t>C3: Protected</t>
  </si>
  <si>
    <r>
      <rPr>
        <b/>
        <sz val="13"/>
        <color indexed="16"/>
        <rFont val="Arial"/>
        <charset val="134"/>
      </rPr>
      <t xml:space="preserve">Product Backlog                               Instructions
</t>
    </r>
    <r>
      <rPr>
        <sz val="9"/>
        <color indexed="23"/>
        <rFont val="Arial"/>
        <charset val="134"/>
      </rPr>
      <t xml:space="preserve">                                                                                               C3: Protected          Controlled Copy</t>
    </r>
  </si>
  <si>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</si>
  <si>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</si>
  <si>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</si>
  <si>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</si>
  <si>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</si>
  <si>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</si>
  <si>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</si>
  <si>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</si>
  <si>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rPr>
        <sz val="10"/>
        <rFont val="Arial"/>
        <charset val="134"/>
      </rPr>
      <t xml:space="preserve">&lt; Provide who would be end User  of the User story&gt;. 
Details of who would use that functionality
Eg:End User
Admin
Teacher
</t>
    </r>
    <r>
      <rPr>
        <sz val="10"/>
        <color theme="4" tint="-0.249977111117893"/>
        <rFont val="Arial"/>
        <charset val="134"/>
      </rPr>
      <t>Conference attendee</t>
    </r>
  </si>
  <si>
    <t>User Story Details</t>
  </si>
  <si>
    <r>
      <rPr>
        <sz val="10"/>
        <rFont val="Arial"/>
        <charset val="134"/>
      </rPr>
      <t xml:space="preserve">&lt;Provide description of  what the User want&gt;
Provide details on "As a/an" particular user what the user wants.
Eg: </t>
    </r>
    <r>
      <rPr>
        <sz val="10"/>
        <color theme="4" tint="-0.249977111117893"/>
        <rFont val="Arial"/>
        <charset val="134"/>
      </rPr>
      <t>As a conference attendee, I want to be able to register online</t>
    </r>
  </si>
  <si>
    <t>Acceptance criteria</t>
  </si>
  <si>
    <r>
      <rPr>
        <sz val="10"/>
        <rFont val="Arial"/>
        <charset val="134"/>
      </rP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charset val="134"/>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</si>
  <si>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</si>
  <si>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</si>
  <si>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</si>
  <si>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</si>
  <si>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</si>
  <si>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</si>
  <si>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</si>
  <si>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</si>
  <si>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</si>
  <si>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</si>
  <si>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</si>
  <si>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</si>
  <si>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</si>
  <si>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</si>
  <si>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</si>
  <si>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</si>
  <si>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</si>
  <si>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</si>
  <si>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</si>
  <si>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</si>
  <si>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</si>
  <si>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</si>
  <si>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</si>
  <si>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</si>
  <si>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Priority</t>
  </si>
  <si>
    <t>Story Point</t>
  </si>
  <si>
    <t>US_1</t>
  </si>
  <si>
    <t>Critical</t>
  </si>
  <si>
    <t>Sprint 1</t>
  </si>
  <si>
    <t>US_2</t>
  </si>
  <si>
    <t>User Authentication</t>
  </si>
  <si>
    <t>User</t>
  </si>
  <si>
    <t>1. A registered user – is able to click ‘Login’ link, after keying in ‘User ID’ &amp; ‘Password’ field and get his credentials authenticated with the existing database entry.
2. A user whose registration is rejected – is unable to login and get the credentials authenticated, the user is presented with relevant error messages:
Invalid User ID (or) Incorrect Password</t>
  </si>
  <si>
    <t>US_3</t>
  </si>
  <si>
    <t>Admin</t>
  </si>
  <si>
    <t>US_4</t>
  </si>
  <si>
    <t>US_5</t>
  </si>
  <si>
    <t>Update Profile</t>
  </si>
  <si>
    <t>Medium</t>
  </si>
  <si>
    <t>Add Account</t>
  </si>
  <si>
    <t>Sprint 2</t>
  </si>
  <si>
    <t>US_7</t>
  </si>
  <si>
    <t>US-8</t>
  </si>
  <si>
    <t>US-9</t>
  </si>
  <si>
    <t>Ability of the system to allow admin to view all transaction history.</t>
  </si>
  <si>
    <t>US-10</t>
  </si>
  <si>
    <t>View All Accounts</t>
  </si>
  <si>
    <t xml:space="preserve"> 1. Admin on clicking the "View All Accounts" should be able to view all the accounts present in  the database.</t>
  </si>
  <si>
    <t>US-11</t>
  </si>
  <si>
    <t>Sprint 3</t>
  </si>
  <si>
    <t>US-12</t>
  </si>
  <si>
    <t>US-13</t>
  </si>
  <si>
    <t>US-14</t>
  </si>
  <si>
    <t>Sprint 4</t>
  </si>
  <si>
    <t>US-15</t>
  </si>
  <si>
    <t>US-16</t>
  </si>
  <si>
    <t>Release Burndown</t>
  </si>
  <si>
    <t>Only edit shaded columns, others are calculated</t>
  </si>
  <si>
    <t>Story points</t>
  </si>
  <si>
    <t>Min</t>
  </si>
  <si>
    <t>Max</t>
  </si>
  <si>
    <t>Remaining</t>
  </si>
  <si>
    <t>Yes</t>
  </si>
  <si>
    <t>No</t>
  </si>
  <si>
    <t>Registration Page</t>
  </si>
  <si>
    <t>Ability of the system to authenticate the  credentials of the registered User and assign roles to the user</t>
  </si>
  <si>
    <t xml:space="preserve"> Login Page</t>
  </si>
  <si>
    <t>Admin,User</t>
  </si>
  <si>
    <t>Ability of the system to allow user to update the profile details dynamically.</t>
  </si>
  <si>
    <t>Ability of the system to allow Admin to create new account the account and save account details to the database.</t>
  </si>
  <si>
    <t>Ability of the system to allow the admin to view all the accounts .</t>
  </si>
  <si>
    <t>View All Customers</t>
  </si>
  <si>
    <t>1. Admin on clicking the "View All Customers" should be able to view all the Customers present in  the database.</t>
  </si>
  <si>
    <t>Deposit</t>
  </si>
  <si>
    <t xml:space="preserve">Withdraw </t>
  </si>
  <si>
    <t xml:space="preserve">Transfer </t>
  </si>
  <si>
    <t>Balance Enquiry</t>
  </si>
  <si>
    <t>Ability of the system to allow user to check the balance ammount in his account.</t>
  </si>
  <si>
    <t>Bank Charges</t>
  </si>
  <si>
    <t>User Home Page</t>
  </si>
  <si>
    <t>Beneficiary</t>
  </si>
  <si>
    <t>Transfer to Beneficiary</t>
  </si>
  <si>
    <t>1.When User Open his Home page he should be able to access all the functionalities of the user.                   2.User Should be able to view all his details retrieved from the database</t>
  </si>
  <si>
    <t xml:space="preserve">Ability of the System to transfer money to the beneficiary </t>
  </si>
  <si>
    <t>Transaction History</t>
  </si>
  <si>
    <t>US-6</t>
  </si>
  <si>
    <r>
      <t xml:space="preserve"> Product Backlog                               E-Banking Management System
 </t>
    </r>
    <r>
      <rPr>
        <sz val="9"/>
        <color rgb="FF808080"/>
        <rFont val="Arial"/>
        <charset val="134"/>
      </rPr>
      <t xml:space="preserve">                                 </t>
    </r>
  </si>
  <si>
    <t>1. Admin on clicking the "Transaction History" should be able to view all the particular user trasactions present in  the database .</t>
  </si>
  <si>
    <t xml:space="preserve">User </t>
  </si>
  <si>
    <t>Ability of the system to  open registration form it should validate the fundamental details of the users, save the user details in the Database and allow user login.</t>
  </si>
  <si>
    <t>1.When the user clicks on the Registration form it should re-direct the Registration form.User needs to fill some of the basic attributes/fields as mentioned below in requirement: First Name, Last Name,email, Gender, Contact Number, Password.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t>
  </si>
  <si>
    <t>Ability of the system to access the login form,validate the user details and allow User  to login.</t>
  </si>
  <si>
    <t xml:space="preserve">1. When the admin/user clicks on the login in, it should re-direct to login in form
2. User needs to fill some of the basic attributes/fields as mentioned below in requirement: email, Password
3. Clicking ‘Submit’ should validate the datatype constraints for each field
4. Post-successful field level validation, save the information in the database
5. Upon saving the information in the database, display the message, "successfully login".
</t>
  </si>
  <si>
    <t>1. Admin on clicking "Deposit Money" will be asked to enter the Account no and need to fill the input fields like transaction date and amount.                                                                            2. When admin  submit the amount, it will get deposited and available amount is updated.</t>
  </si>
  <si>
    <t>Ability of the system to allow Admin to transfer money.</t>
  </si>
  <si>
    <t>Ability of the system to allow Admin to withdraw money.</t>
  </si>
  <si>
    <t>Ability of the system to allow Admin to Deposit money.</t>
  </si>
  <si>
    <t>Ability of the system should  collect bank charges from the Users.</t>
  </si>
  <si>
    <t>1.The Admin should be able to apply the bank fine charges of Rs.100 if the customer balance amount is less than 3000.</t>
  </si>
  <si>
    <t xml:space="preserve">Ability of the System to retrieve the details of the Customer from Database </t>
  </si>
  <si>
    <t>Ability of the System to fetch the beneficiary data and save Beneficiary data in to the database.</t>
  </si>
  <si>
    <t xml:space="preserve">1.When the User Clicks the Bneficiary ,he should be able to view all the  Beneficiary details.  
2.User Should be able to add the new beneficiary details by filling some of the basic attributes/fields as mentioned below in requirement:Beneficiary Name,Bankname,Account Number and Maximum Limit. 
3. Clicking ‘Add Benediciary' should validate the datatype constraints for each field add add beneficiary details to the database.
</t>
  </si>
  <si>
    <t>1.When the user click on "Trensfer to Beneficiary " then  he needs to select the beneficiary and need to fill the fields such as Transfer Amount.                                               2.If amount entered is more than available amount, transfering will be rejected and user will be notified to enter valid amount.</t>
  </si>
  <si>
    <t xml:space="preserve">1. When the Admin clicks on the "Update Profile" ,there he should search the Customer with the Account number .Then it should be able to show the  last entered details of Customer .
2. User should be able to edit the fields in the form.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t>
  </si>
  <si>
    <t>1. Admin on clicking the "Add Account" or Open Accout should be able to add new account.                               2.First Admin should able to select the Customer then select the account type and enter minimum amount required to open the Accont.
2 Clicking ‘Submit’ should validate the datatype constraints for each field.
3 Failing to provide information on the mandatory fields be provided with an alert message – ‘Please update the highlighted mandatory field(s).’ Also, highlight the missed out field in red.
4 Post-successful field level validation, save the information in the database.</t>
  </si>
  <si>
    <t>1. Admin on clicking "Withdraw Money" will be asked to enter the Account no and needs to fill some of the basic attributes/fields as mentioned below in requirement:  
2.By Clicking on "Withraw" button it should validate the datatype constraints for each field,and check  weather the transfer amount entered is less than available amount then, withdraw money is sucessful and available amount will be updated.                                                                   3. If amount entered is more than available amount, transfering will be rejected and Admin will be notified to enter valid amount.</t>
  </si>
  <si>
    <t>1. When Admin  Clicks on  "Transfer Money" will be asked to search for Acount number and need to fill some of the basic attributes.fields as mention in the requirement such as Transaction date,Amount,Receiver's Account holder details.                                                                                                                                                                                                                                                                                           2.  By Clicking on "Transfer" button it should validate the datatype constraints for each field,and check  weather the transfer amount entered is less than available amount then, money  tranferred is sucessful and available amount will be updated.                                                                                                                                                                                                3. If amount entered is more than available amount, transfering will be rejected and user will be notified to enter valid amount.</t>
  </si>
  <si>
    <t>1.When the Admin clicks on the Balance Enquiry ,then it asks admin to enter the Account number  to search an then it display the Balance Amount of the Acount holder</t>
  </si>
</sst>
</file>

<file path=xl/styles.xml><?xml version="1.0" encoding="utf-8"?>
<styleSheet xmlns="http://schemas.openxmlformats.org/spreadsheetml/2006/main">
  <fonts count="26">
    <font>
      <sz val="11"/>
      <color theme="1"/>
      <name val="Calibri"/>
      <charset val="134"/>
      <scheme val="minor"/>
    </font>
    <font>
      <sz val="10"/>
      <color theme="1"/>
      <name val="Arial"/>
      <charset val="134"/>
    </font>
    <font>
      <sz val="10"/>
      <color theme="0" tint="-0.499984740745262"/>
      <name val="Arial"/>
      <charset val="134"/>
    </font>
    <font>
      <sz val="20"/>
      <color theme="1"/>
      <name val="Arial"/>
      <charset val="134"/>
    </font>
    <font>
      <b/>
      <sz val="10"/>
      <color theme="1"/>
      <name val="Arial"/>
      <charset val="134"/>
    </font>
    <font>
      <b/>
      <sz val="10"/>
      <color theme="0" tint="-0.499984740745262"/>
      <name val="Arial"/>
      <charset val="134"/>
    </font>
    <font>
      <sz val="10"/>
      <name val="Arial"/>
      <charset val="134"/>
    </font>
    <font>
      <sz val="9"/>
      <color theme="1"/>
      <name val="Arial"/>
      <charset val="134"/>
    </font>
    <font>
      <b/>
      <sz val="13"/>
      <color rgb="FF800000"/>
      <name val="Arial"/>
      <charset val="134"/>
    </font>
    <font>
      <b/>
      <sz val="13"/>
      <color indexed="16"/>
      <name val="Arial"/>
      <charset val="134"/>
    </font>
    <font>
      <b/>
      <sz val="9"/>
      <color theme="1"/>
      <name val="Arial"/>
      <charset val="134"/>
    </font>
    <font>
      <b/>
      <sz val="10"/>
      <color theme="0"/>
      <name val="Arial"/>
      <charset val="134"/>
    </font>
    <font>
      <b/>
      <sz val="10"/>
      <color indexed="16"/>
      <name val="Arial"/>
      <charset val="134"/>
    </font>
    <font>
      <sz val="10"/>
      <color theme="0"/>
      <name val="Arial"/>
      <charset val="134"/>
    </font>
    <font>
      <b/>
      <sz val="10"/>
      <name val="Arial"/>
      <charset val="134"/>
    </font>
    <font>
      <i/>
      <sz val="10"/>
      <name val="Arial"/>
      <charset val="134"/>
    </font>
    <font>
      <b/>
      <sz val="14"/>
      <name val="Arial"/>
      <charset val="134"/>
    </font>
    <font>
      <b/>
      <sz val="20"/>
      <color indexed="18"/>
      <name val="Arial"/>
      <charset val="134"/>
    </font>
    <font>
      <sz val="14"/>
      <name val="Arial"/>
      <charset val="134"/>
    </font>
    <font>
      <b/>
      <sz val="16"/>
      <color indexed="18"/>
      <name val="Arial"/>
      <charset val="134"/>
    </font>
    <font>
      <u/>
      <sz val="11"/>
      <name val="Arial"/>
      <charset val="134"/>
    </font>
    <font>
      <b/>
      <sz val="10"/>
      <color indexed="8"/>
      <name val="Arial"/>
      <charset val="134"/>
    </font>
    <font>
      <sz val="9"/>
      <color indexed="23"/>
      <name val="Arial"/>
      <charset val="134"/>
    </font>
    <font>
      <b/>
      <i/>
      <sz val="10"/>
      <name val="Arial"/>
      <charset val="134"/>
    </font>
    <font>
      <sz val="9"/>
      <color rgb="FF808080"/>
      <name val="Arial"/>
      <charset val="134"/>
    </font>
    <font>
      <sz val="10"/>
      <color theme="4" tint="-0.249977111117893"/>
      <name val="Arial"/>
      <charset val="134"/>
    </font>
  </fonts>
  <fills count="11">
    <fill>
      <patternFill patternType="none"/>
    </fill>
    <fill>
      <patternFill patternType="gray125"/>
    </fill>
    <fill>
      <patternFill patternType="solid">
        <fgColor theme="3" tint="0.79992065187536243"/>
        <bgColor indexed="64"/>
      </patternFill>
    </fill>
    <fill>
      <patternFill patternType="solid">
        <fgColor theme="0"/>
        <bgColor indexed="64"/>
      </patternFill>
    </fill>
    <fill>
      <patternFill patternType="solid">
        <fgColor theme="8" tint="0.79992065187536243"/>
        <bgColor indexed="64"/>
      </patternFill>
    </fill>
    <fill>
      <patternFill patternType="solid">
        <fgColor rgb="FF002060"/>
        <bgColor indexed="64"/>
      </patternFill>
    </fill>
    <fill>
      <patternFill patternType="solid">
        <fgColor theme="9" tint="-0.249977111117893"/>
        <bgColor indexed="64"/>
      </patternFill>
    </fill>
    <fill>
      <patternFill patternType="solid">
        <fgColor rgb="FF00B050"/>
        <bgColor indexed="64"/>
      </patternFill>
    </fill>
    <fill>
      <patternFill patternType="solid">
        <fgColor rgb="FF92D050"/>
        <bgColor indexed="64"/>
      </patternFill>
    </fill>
    <fill>
      <patternFill patternType="solid">
        <fgColor indexed="9"/>
        <bgColor indexed="64"/>
      </patternFill>
    </fill>
    <fill>
      <patternFill patternType="solid">
        <fgColor indexed="22"/>
        <bgColor indexed="64"/>
      </patternFill>
    </fill>
  </fills>
  <borders count="15">
    <border>
      <left/>
      <right/>
      <top/>
      <bottom/>
      <diagonal/>
    </border>
    <border>
      <left/>
      <right/>
      <top/>
      <bottom style="medium">
        <color auto="1"/>
      </bottom>
      <diagonal/>
    </border>
    <border>
      <left/>
      <right style="thin">
        <color auto="1"/>
      </right>
      <top/>
      <bottom/>
      <diagonal/>
    </border>
    <border>
      <left/>
      <right/>
      <top/>
      <bottom style="thick">
        <color indexed="0"/>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3">
    <xf numFmtId="0" fontId="0" fillId="0" borderId="0"/>
    <xf numFmtId="0" fontId="6" fillId="0" borderId="0"/>
    <xf numFmtId="0" fontId="6" fillId="0" borderId="0"/>
  </cellStyleXfs>
  <cellXfs count="103">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1" fillId="0" borderId="2" xfId="0" applyFont="1" applyBorder="1"/>
    <xf numFmtId="0" fontId="1" fillId="2" borderId="0" xfId="0" applyFont="1" applyFill="1" applyProtection="1">
      <protection locked="0"/>
    </xf>
    <xf numFmtId="0" fontId="6" fillId="0" borderId="3" xfId="2" applyBorder="1" applyAlignment="1" applyProtection="1">
      <alignment horizontal="justify" vertical="center" wrapText="1"/>
      <protection locked="0"/>
    </xf>
    <xf numFmtId="0" fontId="7" fillId="3" borderId="0" xfId="0" applyFont="1" applyFill="1" applyAlignment="1" applyProtection="1">
      <alignment vertical="top" wrapText="1"/>
      <protection locked="0"/>
    </xf>
    <xf numFmtId="0" fontId="7" fillId="0" borderId="0" xfId="0" applyFont="1" applyAlignment="1">
      <alignment horizontal="center" vertical="center" wrapText="1"/>
    </xf>
    <xf numFmtId="0" fontId="7" fillId="0" borderId="0" xfId="0" applyFont="1" applyAlignment="1" applyProtection="1">
      <alignment vertical="top" wrapText="1"/>
      <protection locked="0"/>
    </xf>
    <xf numFmtId="0" fontId="7" fillId="0" borderId="0" xfId="0" applyFont="1" applyAlignment="1" applyProtection="1">
      <alignment vertical="top"/>
      <protection locked="0"/>
    </xf>
    <xf numFmtId="0" fontId="9" fillId="0" borderId="0" xfId="2" applyFont="1" applyAlignment="1" applyProtection="1">
      <alignment horizontal="center" vertical="center" wrapText="1"/>
      <protection locked="0"/>
    </xf>
    <xf numFmtId="0" fontId="9" fillId="0" borderId="0" xfId="2" applyFont="1" applyAlignment="1" applyProtection="1">
      <alignment vertical="center" wrapText="1"/>
      <protection locked="0"/>
    </xf>
    <xf numFmtId="0" fontId="11" fillId="5"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7" fillId="0" borderId="7" xfId="0" applyFont="1" applyBorder="1" applyAlignment="1" applyProtection="1">
      <alignment vertical="top" wrapText="1"/>
      <protection locked="0"/>
    </xf>
    <xf numFmtId="0" fontId="7" fillId="0" borderId="7" xfId="0" applyFont="1" applyBorder="1" applyAlignment="1" applyProtection="1">
      <alignment vertical="top"/>
      <protection locked="0"/>
    </xf>
    <xf numFmtId="0" fontId="7" fillId="3" borderId="7" xfId="0" applyFont="1" applyFill="1" applyBorder="1" applyAlignment="1" applyProtection="1">
      <alignment vertical="top" wrapText="1"/>
      <protection locked="0"/>
    </xf>
    <xf numFmtId="0" fontId="7" fillId="3" borderId="7" xfId="0" applyFont="1" applyFill="1" applyBorder="1" applyAlignment="1" applyProtection="1">
      <alignment vertical="top"/>
      <protection locked="0"/>
    </xf>
    <xf numFmtId="0" fontId="6" fillId="0" borderId="0" xfId="2" applyAlignment="1" applyProtection="1">
      <alignment horizontal="justify" vertical="center" wrapText="1"/>
      <protection locked="0"/>
    </xf>
    <xf numFmtId="0" fontId="6" fillId="3" borderId="3" xfId="2" applyFill="1" applyBorder="1" applyAlignment="1" applyProtection="1">
      <alignment horizontal="justify" vertical="center" wrapText="1"/>
      <protection locked="0"/>
    </xf>
    <xf numFmtId="0" fontId="4" fillId="8" borderId="7" xfId="0" applyFont="1" applyFill="1" applyBorder="1" applyAlignment="1">
      <alignment horizontal="center" vertical="center" wrapText="1"/>
    </xf>
    <xf numFmtId="0" fontId="6" fillId="0" borderId="3" xfId="2" applyBorder="1" applyAlignment="1">
      <alignment horizontal="justify" vertical="center" wrapText="1"/>
    </xf>
    <xf numFmtId="0" fontId="6" fillId="9" borderId="0" xfId="2" applyFill="1"/>
    <xf numFmtId="0" fontId="6" fillId="9" borderId="0" xfId="2" applyFill="1" applyAlignment="1">
      <alignment horizontal="center"/>
    </xf>
    <xf numFmtId="0" fontId="6" fillId="9" borderId="7" xfId="2" applyFill="1" applyBorder="1"/>
    <xf numFmtId="0" fontId="6" fillId="9" borderId="7" xfId="2" applyFill="1" applyBorder="1" applyAlignment="1">
      <alignment horizontal="left" vertical="top" wrapText="1"/>
    </xf>
    <xf numFmtId="0" fontId="14" fillId="4" borderId="7" xfId="0" applyFont="1" applyFill="1" applyBorder="1" applyAlignment="1">
      <alignment vertical="center" wrapText="1"/>
    </xf>
    <xf numFmtId="0" fontId="6" fillId="9" borderId="7" xfId="2" applyFill="1" applyBorder="1" applyAlignment="1">
      <alignment vertical="top" wrapText="1"/>
    </xf>
    <xf numFmtId="0" fontId="6" fillId="3" borderId="7" xfId="2" applyFill="1" applyBorder="1" applyAlignment="1">
      <alignment vertical="top" wrapText="1"/>
    </xf>
    <xf numFmtId="0" fontId="6" fillId="3" borderId="7" xfId="2" applyFill="1" applyBorder="1" applyAlignment="1">
      <alignment horizontal="left" vertical="top" wrapText="1"/>
    </xf>
    <xf numFmtId="0" fontId="14" fillId="4" borderId="7" xfId="2" applyFont="1" applyFill="1" applyBorder="1" applyAlignment="1">
      <alignment vertical="center"/>
    </xf>
    <xf numFmtId="0" fontId="14" fillId="4" borderId="7" xfId="2" applyFont="1" applyFill="1" applyBorder="1" applyAlignment="1">
      <alignment vertical="center" wrapText="1"/>
    </xf>
    <xf numFmtId="0" fontId="14" fillId="9" borderId="0" xfId="2" applyFont="1" applyFill="1"/>
    <xf numFmtId="0" fontId="6" fillId="3" borderId="3" xfId="2" applyFill="1" applyBorder="1" applyAlignment="1">
      <alignment horizontal="justify" vertical="center" wrapText="1"/>
    </xf>
    <xf numFmtId="0" fontId="15" fillId="9" borderId="0" xfId="1" applyFont="1" applyFill="1" applyAlignment="1">
      <alignment vertical="top"/>
    </xf>
    <xf numFmtId="0" fontId="6" fillId="9" borderId="0" xfId="1" applyFill="1"/>
    <xf numFmtId="0" fontId="6" fillId="9" borderId="0" xfId="1" applyFill="1" applyAlignment="1">
      <alignment horizontal="center"/>
    </xf>
    <xf numFmtId="0" fontId="16" fillId="9" borderId="0" xfId="1" applyFont="1" applyFill="1"/>
    <xf numFmtId="0" fontId="16" fillId="9" borderId="8" xfId="1" applyFont="1" applyFill="1" applyBorder="1"/>
    <xf numFmtId="0" fontId="16" fillId="9" borderId="9" xfId="1" applyFont="1" applyFill="1" applyBorder="1"/>
    <xf numFmtId="0" fontId="6" fillId="9" borderId="9" xfId="1" applyFill="1" applyBorder="1"/>
    <xf numFmtId="0" fontId="6" fillId="9" borderId="10" xfId="1" applyFill="1" applyBorder="1" applyAlignment="1">
      <alignment horizontal="center"/>
    </xf>
    <xf numFmtId="0" fontId="16" fillId="9" borderId="11" xfId="1" applyFont="1" applyFill="1" applyBorder="1"/>
    <xf numFmtId="0" fontId="6" fillId="9" borderId="12" xfId="1" applyFill="1" applyBorder="1" applyAlignment="1">
      <alignment horizontal="center"/>
    </xf>
    <xf numFmtId="0" fontId="6" fillId="9" borderId="11" xfId="1" applyFill="1" applyBorder="1" applyAlignment="1">
      <alignment horizontal="center"/>
    </xf>
    <xf numFmtId="0" fontId="6" fillId="9" borderId="12" xfId="1" applyFill="1" applyBorder="1"/>
    <xf numFmtId="0" fontId="6" fillId="9" borderId="11" xfId="1" applyFill="1" applyBorder="1"/>
    <xf numFmtId="0" fontId="6" fillId="0" borderId="0" xfId="1"/>
    <xf numFmtId="49" fontId="21" fillId="10" borderId="7" xfId="1" applyNumberFormat="1" applyFont="1" applyFill="1" applyBorder="1" applyAlignment="1">
      <alignment horizontal="center" vertical="center" wrapText="1"/>
    </xf>
    <xf numFmtId="0" fontId="14" fillId="10" borderId="7" xfId="1" applyFont="1" applyFill="1" applyBorder="1" applyAlignment="1">
      <alignment horizontal="justify" vertical="center" wrapText="1"/>
    </xf>
    <xf numFmtId="0" fontId="6" fillId="9" borderId="7" xfId="1" applyFill="1" applyBorder="1" applyAlignment="1" applyProtection="1">
      <alignment horizontal="center" vertical="center" wrapText="1"/>
      <protection locked="0"/>
    </xf>
    <xf numFmtId="0" fontId="6" fillId="9" borderId="7" xfId="1" applyFill="1" applyBorder="1" applyAlignment="1" applyProtection="1">
      <alignment horizontal="left" vertical="center" wrapText="1"/>
      <protection locked="0"/>
    </xf>
    <xf numFmtId="0" fontId="6" fillId="9" borderId="7" xfId="1" applyFill="1" applyBorder="1" applyAlignment="1" applyProtection="1">
      <alignment horizontal="justify" vertical="center" wrapText="1"/>
      <protection locked="0"/>
    </xf>
    <xf numFmtId="15" fontId="6" fillId="9" borderId="7" xfId="1" applyNumberFormat="1" applyFill="1" applyBorder="1" applyAlignment="1" applyProtection="1">
      <alignment horizontal="justify" vertical="center" wrapText="1"/>
      <protection locked="0"/>
    </xf>
    <xf numFmtId="14" fontId="15" fillId="9" borderId="0" xfId="1" applyNumberFormat="1" applyFont="1" applyFill="1" applyAlignment="1">
      <alignment horizontal="left"/>
    </xf>
    <xf numFmtId="0" fontId="15" fillId="9" borderId="12" xfId="1" applyFont="1" applyFill="1" applyBorder="1" applyAlignment="1">
      <alignment horizontal="center" vertical="top"/>
    </xf>
    <xf numFmtId="0" fontId="14" fillId="9" borderId="11" xfId="1" applyFont="1" applyFill="1" applyBorder="1"/>
    <xf numFmtId="0" fontId="14" fillId="9" borderId="0" xfId="1" applyFont="1" applyFill="1"/>
    <xf numFmtId="0" fontId="15" fillId="9" borderId="0" xfId="1" applyFont="1" applyFill="1" applyAlignment="1">
      <alignment horizontal="center"/>
    </xf>
    <xf numFmtId="0" fontId="22" fillId="9" borderId="13" xfId="1" applyFont="1" applyFill="1" applyBorder="1"/>
    <xf numFmtId="0" fontId="14" fillId="9" borderId="1" xfId="1" applyFont="1" applyFill="1" applyBorder="1"/>
    <xf numFmtId="0" fontId="6" fillId="9" borderId="1" xfId="1" applyFill="1" applyBorder="1"/>
    <xf numFmtId="0" fontId="22" fillId="9" borderId="1" xfId="1" applyFont="1" applyFill="1" applyBorder="1"/>
    <xf numFmtId="0" fontId="6" fillId="9" borderId="14" xfId="1" applyFill="1" applyBorder="1" applyAlignment="1">
      <alignment horizontal="center"/>
    </xf>
    <xf numFmtId="0" fontId="23" fillId="9" borderId="0" xfId="1" applyFont="1" applyFill="1" applyAlignment="1">
      <alignment vertical="top"/>
    </xf>
    <xf numFmtId="0" fontId="14" fillId="9" borderId="0" xfId="1" applyFont="1" applyFill="1" applyAlignment="1">
      <alignment vertical="top"/>
    </xf>
    <xf numFmtId="0" fontId="15" fillId="9" borderId="0" xfId="1" applyFont="1" applyFill="1"/>
    <xf numFmtId="0" fontId="7" fillId="3" borderId="7" xfId="0" applyNumberFormat="1" applyFont="1" applyFill="1" applyBorder="1" applyAlignment="1" applyProtection="1">
      <alignment vertical="top" wrapText="1"/>
      <protection locked="0"/>
    </xf>
    <xf numFmtId="0" fontId="17" fillId="9" borderId="11" xfId="1" applyFont="1" applyFill="1" applyBorder="1" applyAlignment="1">
      <alignment horizontal="center" vertical="center" wrapText="1"/>
    </xf>
    <xf numFmtId="0" fontId="17" fillId="9" borderId="0" xfId="1" applyFont="1" applyFill="1" applyAlignment="1">
      <alignment horizontal="center" vertical="center" wrapText="1"/>
    </xf>
    <xf numFmtId="0" fontId="17" fillId="9" borderId="12" xfId="1" applyFont="1" applyFill="1" applyBorder="1" applyAlignment="1">
      <alignment horizontal="center" vertical="center" wrapText="1"/>
    </xf>
    <xf numFmtId="0" fontId="18" fillId="9" borderId="11" xfId="1" applyFont="1" applyFill="1" applyBorder="1" applyAlignment="1">
      <alignment horizontal="center" vertical="center" wrapText="1"/>
    </xf>
    <xf numFmtId="0" fontId="18" fillId="9" borderId="0" xfId="1" applyFont="1" applyFill="1" applyAlignment="1">
      <alignment horizontal="center" vertical="center" wrapText="1"/>
    </xf>
    <xf numFmtId="0" fontId="18" fillId="9" borderId="12" xfId="1" applyFont="1" applyFill="1" applyBorder="1" applyAlignment="1">
      <alignment horizontal="center" vertical="center" wrapText="1"/>
    </xf>
    <xf numFmtId="0" fontId="19" fillId="9" borderId="11" xfId="1" applyFont="1" applyFill="1" applyBorder="1" applyAlignment="1">
      <alignment horizontal="center" vertical="center" wrapText="1"/>
    </xf>
    <xf numFmtId="0" fontId="19" fillId="9" borderId="0" xfId="1" applyFont="1" applyFill="1" applyAlignment="1">
      <alignment horizontal="center" vertical="center" wrapText="1"/>
    </xf>
    <xf numFmtId="0" fontId="19" fillId="9" borderId="12" xfId="1" applyFont="1" applyFill="1" applyBorder="1" applyAlignment="1">
      <alignment horizontal="center" vertical="center" wrapText="1"/>
    </xf>
    <xf numFmtId="0" fontId="20" fillId="9" borderId="11" xfId="1" applyFont="1" applyFill="1" applyBorder="1" applyAlignment="1">
      <alignment horizontal="left"/>
    </xf>
    <xf numFmtId="0" fontId="6" fillId="9" borderId="0" xfId="1" applyFill="1" applyAlignment="1">
      <alignment horizontal="left"/>
    </xf>
    <xf numFmtId="0" fontId="6" fillId="9" borderId="12" xfId="1" applyFill="1" applyBorder="1" applyAlignment="1">
      <alignment horizontal="left"/>
    </xf>
    <xf numFmtId="0" fontId="17" fillId="9" borderId="11" xfId="1" applyFont="1" applyFill="1" applyBorder="1" applyAlignment="1" applyProtection="1">
      <alignment horizontal="center" vertical="center" wrapText="1"/>
      <protection locked="0"/>
    </xf>
    <xf numFmtId="0" fontId="17" fillId="9" borderId="0" xfId="1" applyFont="1" applyFill="1" applyAlignment="1" applyProtection="1">
      <alignment horizontal="center" vertical="center" wrapText="1"/>
      <protection locked="0"/>
    </xf>
    <xf numFmtId="0" fontId="17" fillId="9" borderId="12" xfId="1" applyFont="1" applyFill="1" applyBorder="1" applyAlignment="1" applyProtection="1">
      <alignment horizontal="center" vertical="center" wrapText="1"/>
      <protection locked="0"/>
    </xf>
    <xf numFmtId="0" fontId="9" fillId="0" borderId="3" xfId="2" applyFont="1" applyBorder="1" applyAlignment="1">
      <alignment vertical="center" wrapText="1"/>
    </xf>
    <xf numFmtId="0" fontId="12" fillId="0" borderId="3" xfId="2" applyFont="1" applyBorder="1" applyAlignment="1">
      <alignment vertical="center" wrapText="1"/>
    </xf>
    <xf numFmtId="0" fontId="11" fillId="5" borderId="7" xfId="2" applyFont="1" applyFill="1" applyBorder="1" applyAlignment="1">
      <alignment horizontal="center" vertical="center" wrapText="1"/>
    </xf>
    <xf numFmtId="0" fontId="13" fillId="5" borderId="7" xfId="2" applyFont="1" applyFill="1" applyBorder="1" applyAlignment="1">
      <alignment horizontal="center" vertical="center"/>
    </xf>
    <xf numFmtId="0" fontId="6" fillId="9" borderId="7" xfId="2" applyFill="1" applyBorder="1" applyAlignment="1">
      <alignment horizontal="left" vertical="top" wrapText="1"/>
    </xf>
    <xf numFmtId="0" fontId="6" fillId="0" borderId="7" xfId="2" applyBorder="1" applyAlignment="1">
      <alignment horizontal="left" vertical="top" wrapText="1"/>
    </xf>
    <xf numFmtId="0" fontId="8" fillId="0" borderId="4" xfId="2" applyFont="1" applyBorder="1" applyAlignment="1" applyProtection="1">
      <alignment horizontal="center" vertical="center" wrapText="1"/>
      <protection locked="0"/>
    </xf>
    <xf numFmtId="0" fontId="9" fillId="0" borderId="4" xfId="2" applyFont="1" applyBorder="1" applyAlignment="1" applyProtection="1">
      <alignment horizontal="center" vertical="center" wrapText="1"/>
      <protection locked="0"/>
    </xf>
    <xf numFmtId="0" fontId="10" fillId="4" borderId="5" xfId="0" applyFont="1" applyFill="1" applyBorder="1" applyAlignment="1" applyProtection="1">
      <alignment horizontal="center" vertical="top" wrapText="1"/>
      <protection locked="0"/>
    </xf>
    <xf numFmtId="0" fontId="10" fillId="4" borderId="6" xfId="0" applyFont="1" applyFill="1" applyBorder="1" applyAlignment="1" applyProtection="1">
      <alignment horizontal="center" vertical="top" wrapText="1"/>
      <protection locked="0"/>
    </xf>
    <xf numFmtId="0" fontId="10" fillId="7" borderId="7" xfId="0" applyFont="1" applyFill="1" applyBorder="1" applyAlignment="1" applyProtection="1">
      <alignment horizontal="center" vertical="center" wrapText="1"/>
      <protection locked="0"/>
    </xf>
    <xf numFmtId="0" fontId="5" fillId="0" borderId="0" xfId="0" applyFont="1" applyAlignment="1"/>
    <xf numFmtId="0" fontId="5" fillId="0" borderId="1" xfId="0" applyFont="1" applyBorder="1" applyAlignment="1"/>
    <xf numFmtId="0" fontId="1" fillId="2" borderId="0" xfId="0" applyFont="1" applyFill="1" applyAlignment="1"/>
    <xf numFmtId="0" fontId="4" fillId="0" borderId="0" xfId="0" applyFont="1" applyAlignment="1"/>
    <xf numFmtId="0" fontId="4" fillId="0" borderId="1" xfId="0" applyFont="1" applyBorder="1" applyAlignment="1"/>
    <xf numFmtId="0" fontId="4" fillId="0" borderId="0" xfId="0" applyFont="1" applyAlignment="1">
      <alignment wrapText="1"/>
    </xf>
    <xf numFmtId="0" fontId="4" fillId="0" borderId="1" xfId="0" applyFont="1" applyBorder="1" applyAlignment="1">
      <alignment wrapText="1"/>
    </xf>
  </cellXfs>
  <cellStyles count="3">
    <cellStyle name="Normal" xfId="0" builtinId="0"/>
    <cellStyle name="Normal 2" xfId="1"/>
    <cellStyle name="Normal 2 2" xfId="2"/>
  </cellStyles>
  <dxfs count="2">
    <dxf>
      <font>
        <strike/>
        <color theme="0" tint="-0.499984740745262"/>
      </font>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a:defRPr lang="en-US" sz="2000" b="1" i="0" u="none" strike="noStrike" kern="1200" baseline="0">
                <a:solidFill>
                  <a:schemeClr val="tx1"/>
                </a:solidFill>
                <a:latin typeface="Arial" panose="020B0604020202020204"/>
                <a:ea typeface="+mn-ea"/>
                <a:cs typeface="Arial" panose="020B0604020202020204"/>
              </a:defRPr>
            </a:pPr>
            <a:r>
              <a:rPr lang="en-US" sz="2000">
                <a:latin typeface="Arial" panose="020B0604020202020204"/>
                <a:cs typeface="Arial" panose="020B0604020202020204"/>
              </a:rPr>
              <a:t>Release Burndown</a:t>
            </a:r>
          </a:p>
        </c:rich>
      </c:tx>
    </c:title>
    <c:plotArea>
      <c:layout>
        <c:manualLayout>
          <c:layoutTarget val="inner"/>
          <c:xMode val="edge"/>
          <c:yMode val="edge"/>
          <c:x val="0.12018078308931802"/>
          <c:y val="0.15416939381317923"/>
          <c:w val="0.84582022033975768"/>
          <c:h val="0.74499375235526455"/>
        </c:manualLayout>
      </c:layout>
      <c:lineChart>
        <c:grouping val="standard"/>
        <c:ser>
          <c:idx val="0"/>
          <c:order val="0"/>
          <c:spPr>
            <a:ln w="28575" cap="rnd" cmpd="sng" algn="ctr">
              <a:solidFill>
                <a:schemeClr val="bg1"/>
              </a:solidFill>
              <a:prstDash val="solid"/>
              <a:round/>
            </a:ln>
          </c:spPr>
          <c:marker>
            <c:symbol val="none"/>
          </c:marker>
          <c:trendline>
            <c:trendlineType val="linear"/>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extLst xmlns:c16r2="http://schemas.microsoft.com/office/drawing/2015/06/chart">
            <c:ext xmlns:c16="http://schemas.microsoft.com/office/drawing/2014/chart" uri="{C3380CC4-5D6E-409C-BE32-E72D297353CC}">
              <c16:uniqueId val="{00000001-8D98-46F4-B1D6-0A8F425F2A67}"/>
            </c:ext>
          </c:extLst>
        </c:ser>
        <c:ser>
          <c:idx val="1"/>
          <c:order val="1"/>
          <c:spPr>
            <a:ln w="28575" cap="rnd" cmpd="sng" algn="ctr">
              <a:solidFill>
                <a:schemeClr val="bg1"/>
              </a:solidFill>
              <a:prstDash val="solid"/>
              <a:round/>
            </a:ln>
          </c:spPr>
          <c:marker>
            <c:symbol val="none"/>
          </c:marker>
          <c:trendline>
            <c:trendlineType val="linear"/>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extLst xmlns:c16r2="http://schemas.microsoft.com/office/drawing/2015/06/chart">
            <c:ext xmlns:c16="http://schemas.microsoft.com/office/drawing/2014/chart" uri="{C3380CC4-5D6E-409C-BE32-E72D297353CC}">
              <c16:uniqueId val="{00000003-8D98-46F4-B1D6-0A8F425F2A67}"/>
            </c:ext>
          </c:extLst>
        </c:ser>
        <c:upDownBars>
          <c:gapWidth val="150"/>
          <c:upBars>
            <c:spPr>
              <a:solidFill>
                <a:schemeClr val="accent1"/>
              </a:solidFill>
              <a:ln w="9525" cap="flat" cmpd="sng" algn="ctr">
                <a:solidFill>
                  <a:schemeClr val="accent1"/>
                </a:solidFill>
                <a:prstDash val="solid"/>
                <a:round/>
              </a:ln>
            </c:spPr>
          </c:upBars>
          <c:downBars/>
        </c:upDownBars>
        <c:marker val="1"/>
        <c:axId val="162927744"/>
        <c:axId val="162929664"/>
      </c:lineChart>
      <c:catAx>
        <c:axId val="162927744"/>
        <c:scaling>
          <c:orientation val="minMax"/>
        </c:scaling>
        <c:axPos val="b"/>
        <c:title>
          <c:tx>
            <c:rich>
              <a:bodyPr rot="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AU" sz="1600">
                    <a:latin typeface="Arial" panose="020B0604020202020204" pitchFamily="7" charset="0"/>
                    <a:cs typeface="Arial" panose="020B0604020202020204" pitchFamily="7" charset="0"/>
                  </a:rPr>
                  <a:t>Sprint</a:t>
                </a:r>
              </a:p>
            </c:rich>
          </c:tx>
        </c:title>
        <c:numFmt formatCode="#,##0_);\(#,##0\)" sourceLinked="0"/>
        <c:tickLblPos val="nextTo"/>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2929664"/>
        <c:crosses val="autoZero"/>
        <c:auto val="1"/>
        <c:lblAlgn val="ctr"/>
        <c:lblOffset val="100"/>
      </c:catAx>
      <c:valAx>
        <c:axId val="162929664"/>
        <c:scaling>
          <c:orientation val="minMax"/>
        </c:scaling>
        <c:axPos val="l"/>
        <c:majorGridlines/>
        <c:title>
          <c:tx>
            <c:rich>
              <a:bodyPr rot="-540000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US"/>
                  <a:t>Story Points</a:t>
                </a:r>
              </a:p>
            </c:rich>
          </c:tx>
        </c:title>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2927744"/>
        <c:crosses val="autoZero"/>
        <c:crossBetween val="between"/>
      </c:valAx>
    </c:plotArea>
    <c:plotVisOnly val="1"/>
    <c:dispBlanksAs val="gap"/>
  </c:chart>
  <c:txPr>
    <a:bodyPr/>
    <a:lstStyle/>
    <a:p>
      <a:pPr>
        <a:defRPr lang="en-US"/>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 xmlns:a16="http://schemas.microsoft.com/office/drawing/2014/main" id="{00000000-0008-0000-0000-000002000000}"/>
            </a:ext>
          </a:extLst>
        </xdr:cNvPr>
        <xdr:cNvSpPr txBox="1">
          <a:spLocks noChangeArrowheads="1"/>
        </xdr:cNvSpPr>
      </xdr:nvSpPr>
      <xdr:spPr>
        <a:xfrm>
          <a:off x="1341755" y="457200"/>
          <a:ext cx="651002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 xmlns:a16="http://schemas.microsoft.com/office/drawing/2014/main" id="{00000000-0008-0000-0000-000003000000}"/>
            </a:ext>
          </a:extLst>
        </xdr:cNvPr>
        <xdr:cNvSpPr>
          <a:spLocks noChangeShapeType="1"/>
        </xdr:cNvSpPr>
      </xdr:nvSpPr>
      <xdr:spPr>
        <a:xfrm>
          <a:off x="303530" y="4381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 xmlns:a16="http://schemas.microsoft.com/office/drawing/2014/main" id="{00000000-0008-0000-0000-000004000000}"/>
            </a:ext>
          </a:extLst>
        </xdr:cNvPr>
        <xdr:cNvSpPr>
          <a:spLocks noChangeShapeType="1"/>
        </xdr:cNvSpPr>
      </xdr:nvSpPr>
      <xdr:spPr>
        <a:xfrm>
          <a:off x="303530" y="6667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a:extLst>
            <a:ext uri="{FF2B5EF4-FFF2-40B4-BE49-F238E27FC236}">
              <a16:creationId xmlns="" xmlns:a16="http://schemas.microsoft.com/office/drawing/2014/main" id="{00000000-0008-0000-0000-000006000000}"/>
            </a:ext>
          </a:extLst>
        </xdr:cNvPr>
        <xdr:cNvSpPr txBox="1">
          <a:spLocks noChangeArrowheads="1"/>
        </xdr:cNvSpPr>
      </xdr:nvSpPr>
      <xdr:spPr>
        <a:xfrm>
          <a:off x="2512060" y="8258175"/>
          <a:ext cx="2883535" cy="1524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 xmlns:a16="http://schemas.microsoft.com/office/drawing/2014/main" id="{00000000-0008-0000-0000-000007000000}"/>
            </a:ext>
          </a:extLst>
        </xdr:cNvPr>
        <xdr:cNvSpPr txBox="1">
          <a:spLocks noChangeArrowheads="1"/>
        </xdr:cNvSpPr>
      </xdr:nvSpPr>
      <xdr:spPr>
        <a:xfrm>
          <a:off x="1341755" y="457200"/>
          <a:ext cx="651002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 xmlns:a16="http://schemas.microsoft.com/office/drawing/2014/main" id="{00000000-0008-0000-0000-000008000000}"/>
            </a:ext>
          </a:extLst>
        </xdr:cNvPr>
        <xdr:cNvSpPr>
          <a:spLocks noChangeShapeType="1"/>
        </xdr:cNvSpPr>
      </xdr:nvSpPr>
      <xdr:spPr>
        <a:xfrm>
          <a:off x="303530" y="4381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 xmlns:a16="http://schemas.microsoft.com/office/drawing/2014/main" id="{00000000-0008-0000-0000-000009000000}"/>
            </a:ext>
          </a:extLst>
        </xdr:cNvPr>
        <xdr:cNvSpPr>
          <a:spLocks noChangeShapeType="1"/>
        </xdr:cNvSpPr>
      </xdr:nvSpPr>
      <xdr:spPr>
        <a:xfrm>
          <a:off x="303530" y="6667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 xmlns:a16="http://schemas.microsoft.com/office/drawing/2014/main" id="{00000000-0008-0000-0000-00000B000000}"/>
            </a:ext>
          </a:extLst>
        </xdr:cNvPr>
        <xdr:cNvSpPr txBox="1">
          <a:spLocks noChangeArrowheads="1"/>
        </xdr:cNvSpPr>
      </xdr:nvSpPr>
      <xdr:spPr>
        <a:xfrm>
          <a:off x="1341755" y="457200"/>
          <a:ext cx="651002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 xmlns:a16="http://schemas.microsoft.com/office/drawing/2014/main" id="{00000000-0008-0000-0000-00000C000000}"/>
            </a:ext>
          </a:extLst>
        </xdr:cNvPr>
        <xdr:cNvSpPr>
          <a:spLocks noChangeShapeType="1"/>
        </xdr:cNvSpPr>
      </xdr:nvSpPr>
      <xdr:spPr>
        <a:xfrm>
          <a:off x="303530" y="4381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 xmlns:a16="http://schemas.microsoft.com/office/drawing/2014/main" id="{00000000-0008-0000-0000-00000D000000}"/>
            </a:ext>
          </a:extLst>
        </xdr:cNvPr>
        <xdr:cNvSpPr>
          <a:spLocks noChangeShapeType="1"/>
        </xdr:cNvSpPr>
      </xdr:nvSpPr>
      <xdr:spPr>
        <a:xfrm>
          <a:off x="303530" y="6667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 xmlns:a16="http://schemas.microsoft.com/office/drawing/2014/main" id="{00000000-0008-0000-0000-00000F000000}"/>
            </a:ext>
          </a:extLst>
        </xdr:cNvPr>
        <xdr:cNvSpPr txBox="1">
          <a:spLocks noChangeArrowheads="1"/>
        </xdr:cNvSpPr>
      </xdr:nvSpPr>
      <xdr:spPr>
        <a:xfrm>
          <a:off x="1341755" y="457200"/>
          <a:ext cx="6510020"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0</xdr:col>
      <xdr:colOff>0</xdr:colOff>
      <xdr:row>27</xdr:row>
      <xdr:rowOff>47625</xdr:rowOff>
    </xdr:from>
    <xdr:to>
      <xdr:col>6</xdr:col>
      <xdr:colOff>222250</xdr:colOff>
      <xdr:row>33</xdr:row>
      <xdr:rowOff>82550</xdr:rowOff>
    </xdr:to>
    <xdr:pic>
      <xdr:nvPicPr>
        <xdr:cNvPr id="16" name="Picture 20" descr="content">
          <a:extLst>
            <a:ext uri="{FF2B5EF4-FFF2-40B4-BE49-F238E27FC236}">
              <a16:creationId xmlns=""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52499" b="83333"/>
        <a:stretch>
          <a:fillRect/>
        </a:stretch>
      </xdr:blipFill>
      <xdr:spPr>
        <a:xfrm>
          <a:off x="0" y="7642225"/>
          <a:ext cx="7181850" cy="11207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 xmlns:a16="http://schemas.microsoft.com/office/drawing/2014/main" id="{00000000-0008-0000-0000-000011000000}"/>
            </a:ext>
          </a:extLst>
        </xdr:cNvPr>
        <xdr:cNvSpPr>
          <a:spLocks noChangeShapeType="1"/>
        </xdr:cNvSpPr>
      </xdr:nvSpPr>
      <xdr:spPr>
        <a:xfrm>
          <a:off x="303530" y="4381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 xmlns:a16="http://schemas.microsoft.com/office/drawing/2014/main" id="{00000000-0008-0000-0000-000012000000}"/>
            </a:ext>
          </a:extLst>
        </xdr:cNvPr>
        <xdr:cNvSpPr>
          <a:spLocks noChangeShapeType="1"/>
        </xdr:cNvSpPr>
      </xdr:nvSpPr>
      <xdr:spPr>
        <a:xfrm>
          <a:off x="303530" y="666750"/>
          <a:ext cx="7548245" cy="0"/>
        </a:xfrm>
        <a:prstGeom prst="line">
          <a:avLst/>
        </a:prstGeom>
        <a:noFill/>
        <a:ln w="9525">
          <a:solidFill>
            <a:srgbClr val="969696"/>
          </a:solidFill>
          <a:round/>
        </a:ln>
        <a:extLst>
          <a:ext uri="{909E8E84-426E-40DD-AFC4-6F175D3DCCD1}">
            <a14:hiddenFill xmlns="" xmlns:a14="http://schemas.microsoft.com/office/drawing/2010/main">
              <a:noFill/>
            </a14:hiddenFill>
          </a:ext>
        </a:extLst>
      </xdr:spPr>
    </xdr:sp>
    <xdr:clientData/>
  </xdr:twoCellAnchor>
  <xdr:twoCellAnchor>
    <xdr:from>
      <xdr:col>1</xdr:col>
      <xdr:colOff>0</xdr:colOff>
      <xdr:row>2</xdr:row>
      <xdr:rowOff>0</xdr:rowOff>
    </xdr:from>
    <xdr:to>
      <xdr:col>2</xdr:col>
      <xdr:colOff>136317</xdr:colOff>
      <xdr:row>3</xdr:row>
      <xdr:rowOff>66675</xdr:rowOff>
    </xdr:to>
    <xdr:pic>
      <xdr:nvPicPr>
        <xdr:cNvPr id="21" name="Picture 1" descr="cid:image001.png@01D5D50E.B865DEC0">
          <a:extLst>
            <a:ext uri="{FF2B5EF4-FFF2-40B4-BE49-F238E27FC236}">
              <a16:creationId xmlns=""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 xmlns:a14="http://schemas.microsoft.com/office/drawing/2010/main" val="0"/>
            </a:ext>
          </a:extLst>
        </a:blip>
        <a:srcRect/>
        <a:stretch>
          <a:fillRect/>
        </a:stretch>
      </xdr:blipFill>
      <xdr:spPr>
        <a:xfrm>
          <a:off x="303530" y="466725"/>
          <a:ext cx="1069340" cy="2952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1</xdr:col>
      <xdr:colOff>22017</xdr:colOff>
      <xdr:row>0</xdr:row>
      <xdr:rowOff>371475</xdr:rowOff>
    </xdr:to>
    <xdr:pic>
      <xdr:nvPicPr>
        <xdr:cNvPr id="3" name="Picture 1" descr="cid:image001.png@01D5D50E.B865DEC0">
          <a:extLst>
            <a:ext uri="{FF2B5EF4-FFF2-40B4-BE49-F238E27FC236}">
              <a16:creationId xmlns=""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 xmlns:a14="http://schemas.microsoft.com/office/drawing/2010/main" val="0"/>
            </a:ext>
          </a:extLst>
        </a:blip>
        <a:srcRect/>
        <a:stretch>
          <a:fillRect/>
        </a:stretch>
      </xdr:blipFill>
      <xdr:spPr>
        <a:xfrm>
          <a:off x="0" y="76200"/>
          <a:ext cx="1066165" cy="2952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120336</xdr:colOff>
      <xdr:row>0</xdr:row>
      <xdr:rowOff>288235</xdr:rowOff>
    </xdr:to>
    <xdr:pic>
      <xdr:nvPicPr>
        <xdr:cNvPr id="5" name="Picture 1" descr="cid:image001.png@01D5D50E.B865DEC0">
          <a:extLst>
            <a:ext uri="{FF2B5EF4-FFF2-40B4-BE49-F238E27FC236}">
              <a16:creationId xmlns=""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 xmlns:a14="http://schemas.microsoft.com/office/drawing/2010/main" val="0"/>
            </a:ext>
          </a:extLst>
        </a:blip>
        <a:srcRect/>
        <a:stretch>
          <a:fillRect/>
        </a:stretch>
      </xdr:blipFill>
      <xdr:spPr>
        <a:xfrm>
          <a:off x="0" y="0"/>
          <a:ext cx="1045845" cy="28765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1:H35"/>
  <sheetViews>
    <sheetView topLeftCell="B16" workbookViewId="0">
      <selection activeCell="B8" sqref="B8:G9"/>
    </sheetView>
  </sheetViews>
  <sheetFormatPr defaultColWidth="9.90625" defaultRowHeight="12.5"/>
  <cols>
    <col min="1" max="1" width="4.453125" style="37" customWidth="1"/>
    <col min="2" max="2" width="14" style="37" customWidth="1"/>
    <col min="3" max="3" width="11.453125" style="37" customWidth="1"/>
    <col min="4" max="4" width="22.453125" style="37" customWidth="1"/>
    <col min="5" max="5" width="19.6328125" style="37" customWidth="1"/>
    <col min="6" max="6" width="27.6328125" style="37" customWidth="1"/>
    <col min="7" max="7" width="17.90625" style="38" customWidth="1"/>
    <col min="8" max="16384" width="9.90625" style="37"/>
  </cols>
  <sheetData>
    <row r="1" spans="2:7" ht="18">
      <c r="B1" s="39"/>
      <c r="C1" s="39"/>
    </row>
    <row r="2" spans="2:7" ht="18">
      <c r="B2" s="40"/>
      <c r="C2" s="41"/>
      <c r="D2" s="42"/>
      <c r="E2" s="42"/>
      <c r="F2" s="42"/>
      <c r="G2" s="43"/>
    </row>
    <row r="3" spans="2:7" ht="18">
      <c r="B3" s="44"/>
      <c r="C3" s="39"/>
      <c r="G3" s="45"/>
    </row>
    <row r="4" spans="2:7" ht="18">
      <c r="B4" s="44"/>
      <c r="C4" s="39"/>
      <c r="G4" s="45"/>
    </row>
    <row r="5" spans="2:7" ht="18">
      <c r="B5" s="44"/>
      <c r="C5" s="39"/>
      <c r="G5" s="45"/>
    </row>
    <row r="6" spans="2:7" ht="20.25" customHeight="1">
      <c r="B6" s="70"/>
      <c r="C6" s="71"/>
      <c r="D6" s="71"/>
      <c r="E6" s="71"/>
      <c r="F6" s="71"/>
      <c r="G6" s="72"/>
    </row>
    <row r="7" spans="2:7" ht="21" customHeight="1">
      <c r="B7" s="70"/>
      <c r="C7" s="71"/>
      <c r="D7" s="71"/>
      <c r="E7" s="71"/>
      <c r="F7" s="71"/>
      <c r="G7" s="72"/>
    </row>
    <row r="8" spans="2:7" ht="29.25" customHeight="1">
      <c r="B8" s="82" t="s">
        <v>0</v>
      </c>
      <c r="C8" s="83"/>
      <c r="D8" s="83"/>
      <c r="E8" s="83"/>
      <c r="F8" s="83"/>
      <c r="G8" s="84"/>
    </row>
    <row r="9" spans="2:7" ht="29.25" customHeight="1">
      <c r="B9" s="82"/>
      <c r="C9" s="83"/>
      <c r="D9" s="83"/>
      <c r="E9" s="83"/>
      <c r="F9" s="83"/>
      <c r="G9" s="84"/>
    </row>
    <row r="10" spans="2:7" ht="55.5" customHeight="1">
      <c r="B10" s="70" t="s">
        <v>1</v>
      </c>
      <c r="C10" s="71"/>
      <c r="D10" s="71"/>
      <c r="E10" s="71"/>
      <c r="F10" s="71"/>
      <c r="G10" s="72"/>
    </row>
    <row r="11" spans="2:7" ht="18.75" customHeight="1">
      <c r="B11" s="73"/>
      <c r="C11" s="74"/>
      <c r="D11" s="74"/>
      <c r="E11" s="74"/>
      <c r="F11" s="74"/>
      <c r="G11" s="75"/>
    </row>
    <row r="12" spans="2:7" ht="20">
      <c r="B12" s="76"/>
      <c r="C12" s="77"/>
      <c r="D12" s="77"/>
      <c r="E12" s="77"/>
      <c r="F12" s="77"/>
      <c r="G12" s="78"/>
    </row>
    <row r="13" spans="2:7">
      <c r="B13" s="46"/>
      <c r="C13" s="38"/>
      <c r="D13" s="38"/>
      <c r="E13" s="38"/>
      <c r="F13" s="38"/>
      <c r="G13" s="47"/>
    </row>
    <row r="14" spans="2:7">
      <c r="B14" s="48"/>
      <c r="G14" s="47"/>
    </row>
    <row r="15" spans="2:7">
      <c r="B15" s="48"/>
      <c r="G15" s="47"/>
    </row>
    <row r="16" spans="2:7">
      <c r="B16" s="48"/>
      <c r="G16" s="47"/>
    </row>
    <row r="17" spans="2:8">
      <c r="B17" s="48"/>
      <c r="G17" s="47"/>
    </row>
    <row r="18" spans="2:8">
      <c r="B18" s="48"/>
      <c r="G18" s="47"/>
    </row>
    <row r="19" spans="2:8">
      <c r="B19" s="48"/>
      <c r="G19" s="47"/>
    </row>
    <row r="20" spans="2:8" ht="14">
      <c r="B20" s="79"/>
      <c r="C20" s="80"/>
      <c r="D20" s="80"/>
      <c r="E20" s="80"/>
      <c r="F20" s="80"/>
      <c r="G20" s="81"/>
      <c r="H20" s="49"/>
    </row>
    <row r="21" spans="2:8">
      <c r="B21" s="48"/>
      <c r="G21" s="47"/>
    </row>
    <row r="22" spans="2:8">
      <c r="B22" s="48"/>
      <c r="G22" s="47"/>
    </row>
    <row r="23" spans="2:8">
      <c r="B23" s="48"/>
      <c r="G23" s="47"/>
    </row>
    <row r="24" spans="2:8" ht="26">
      <c r="B24" s="48"/>
      <c r="C24" s="50"/>
      <c r="D24" s="50" t="s">
        <v>2</v>
      </c>
      <c r="E24" s="50" t="s">
        <v>3</v>
      </c>
      <c r="F24" s="50" t="s">
        <v>4</v>
      </c>
      <c r="G24" s="45"/>
    </row>
    <row r="25" spans="2:8" ht="37.5">
      <c r="B25" s="48"/>
      <c r="C25" s="51" t="s">
        <v>5</v>
      </c>
      <c r="D25" s="52" t="s">
        <v>6</v>
      </c>
      <c r="E25" s="52"/>
      <c r="F25" s="52"/>
      <c r="G25" s="45"/>
    </row>
    <row r="26" spans="2:8" ht="25">
      <c r="B26" s="48"/>
      <c r="C26" s="51" t="s">
        <v>7</v>
      </c>
      <c r="D26" s="52" t="s">
        <v>8</v>
      </c>
      <c r="E26" s="52"/>
      <c r="F26" s="52"/>
      <c r="G26" s="45"/>
    </row>
    <row r="27" spans="2:8" ht="87.5">
      <c r="B27" s="48"/>
      <c r="C27" s="51" t="s">
        <v>9</v>
      </c>
      <c r="D27" s="53" t="s">
        <v>10</v>
      </c>
      <c r="E27" s="54"/>
      <c r="F27" s="54"/>
      <c r="G27" s="45"/>
    </row>
    <row r="28" spans="2:8" ht="21" customHeight="1">
      <c r="B28" s="48"/>
      <c r="C28" s="51" t="s">
        <v>11</v>
      </c>
      <c r="D28" s="55">
        <v>44711</v>
      </c>
      <c r="E28" s="55"/>
      <c r="F28" s="55"/>
      <c r="G28" s="45"/>
    </row>
    <row r="29" spans="2:8" s="36" customFormat="1" ht="13">
      <c r="B29" s="48"/>
      <c r="C29" s="56"/>
      <c r="D29" s="37"/>
      <c r="E29" s="37"/>
      <c r="G29" s="57"/>
    </row>
    <row r="30" spans="2:8" s="36" customFormat="1" ht="13">
      <c r="B30" s="58"/>
      <c r="C30" s="59"/>
      <c r="D30" s="37"/>
      <c r="E30" s="37"/>
      <c r="G30" s="57"/>
    </row>
    <row r="31" spans="2:8" ht="13">
      <c r="B31" s="48"/>
      <c r="C31" s="60"/>
      <c r="D31" s="38"/>
      <c r="E31" s="38"/>
      <c r="F31" s="38"/>
      <c r="G31" s="45"/>
    </row>
    <row r="32" spans="2:8" ht="13">
      <c r="B32" s="61" t="s">
        <v>12</v>
      </c>
      <c r="C32" s="62"/>
      <c r="D32" s="63"/>
      <c r="E32" s="63"/>
      <c r="F32" s="64" t="s">
        <v>13</v>
      </c>
      <c r="G32" s="65"/>
    </row>
    <row r="33" spans="2:4" ht="12.75" customHeight="1"/>
    <row r="34" spans="2:4" ht="13">
      <c r="B34" s="66"/>
      <c r="C34" s="67"/>
      <c r="D34" s="59"/>
    </row>
    <row r="35" spans="2:4" ht="13">
      <c r="B35" s="68"/>
    </row>
  </sheetData>
  <sheetProtection selectLockedCells="1"/>
  <mergeCells count="6">
    <mergeCell ref="B10:G10"/>
    <mergeCell ref="B11:G11"/>
    <mergeCell ref="B12:G12"/>
    <mergeCell ref="B20:G20"/>
    <mergeCell ref="B6:G7"/>
    <mergeCell ref="B8:G9"/>
  </mergeCells>
  <pageMargins left="0.75" right="0.75" top="1" bottom="1" header="0.5" footer="0.5"/>
  <pageSetup scale="94" orientation="portrait"/>
  <headerFooter alignWithMargins="0">
    <oddFooter>&amp;RPage &amp;P of &amp;N</oddFooter>
  </headerFooter>
  <drawing r:id="rId1"/>
</worksheet>
</file>

<file path=xl/worksheets/sheet2.xml><?xml version="1.0" encoding="utf-8"?>
<worksheet xmlns="http://schemas.openxmlformats.org/spreadsheetml/2006/main" xmlns:r="http://schemas.openxmlformats.org/officeDocument/2006/relationships">
  <dimension ref="A1:O43"/>
  <sheetViews>
    <sheetView topLeftCell="A7" workbookViewId="0">
      <selection activeCell="C11" sqref="C11"/>
    </sheetView>
  </sheetViews>
  <sheetFormatPr defaultColWidth="9.90625" defaultRowHeight="12.5"/>
  <cols>
    <col min="1" max="1" width="15.6328125" style="24" customWidth="1"/>
    <col min="2" max="2" width="7.90625" style="24" customWidth="1"/>
    <col min="3" max="3" width="41.453125" style="24" customWidth="1"/>
    <col min="4" max="4" width="86.453125" style="24" customWidth="1"/>
    <col min="5" max="5" width="15.90625" style="24" customWidth="1"/>
    <col min="6" max="6" width="22.6328125" style="25" customWidth="1"/>
    <col min="7" max="16384" width="9.90625" style="24"/>
  </cols>
  <sheetData>
    <row r="1" spans="2:15" s="23" customFormat="1" ht="57" customHeight="1">
      <c r="B1" s="85" t="s">
        <v>14</v>
      </c>
      <c r="C1" s="86"/>
      <c r="D1" s="86"/>
      <c r="E1" s="86"/>
      <c r="F1" s="86"/>
      <c r="G1" s="86"/>
      <c r="H1" s="86"/>
      <c r="N1" s="35"/>
      <c r="O1" s="35"/>
    </row>
    <row r="3" spans="2:15" ht="3" customHeight="1"/>
    <row r="4" spans="2:15" ht="29.15" customHeight="1">
      <c r="C4" s="87" t="s">
        <v>15</v>
      </c>
      <c r="D4" s="88"/>
    </row>
    <row r="5" spans="2:15">
      <c r="C5" s="26" t="s">
        <v>16</v>
      </c>
      <c r="D5" s="26"/>
    </row>
    <row r="6" spans="2:15" ht="93.75" customHeight="1">
      <c r="C6" s="89" t="s">
        <v>17</v>
      </c>
      <c r="D6" s="90"/>
    </row>
    <row r="7" spans="2:15" ht="25">
      <c r="C7" s="28" t="s">
        <v>18</v>
      </c>
      <c r="D7" s="29" t="s">
        <v>19</v>
      </c>
    </row>
    <row r="8" spans="2:15" ht="50">
      <c r="C8" s="28" t="s">
        <v>20</v>
      </c>
      <c r="D8" s="29" t="s">
        <v>21</v>
      </c>
    </row>
    <row r="9" spans="2:15" ht="75">
      <c r="C9" s="28" t="s">
        <v>22</v>
      </c>
      <c r="D9" s="29" t="s">
        <v>23</v>
      </c>
    </row>
    <row r="10" spans="2:15" ht="37.5">
      <c r="C10" s="28" t="s">
        <v>24</v>
      </c>
      <c r="D10" s="29" t="s">
        <v>25</v>
      </c>
    </row>
    <row r="11" spans="2:15" ht="75">
      <c r="C11" s="28" t="s">
        <v>26</v>
      </c>
      <c r="D11" s="29" t="s">
        <v>27</v>
      </c>
    </row>
    <row r="12" spans="2:15" ht="37.5">
      <c r="C12" s="28" t="s">
        <v>28</v>
      </c>
      <c r="D12" s="30" t="s">
        <v>29</v>
      </c>
    </row>
    <row r="13" spans="2:15" ht="50">
      <c r="C13" s="28" t="s">
        <v>30</v>
      </c>
      <c r="D13" s="30" t="s">
        <v>31</v>
      </c>
    </row>
    <row r="14" spans="2:15" ht="13">
      <c r="C14" s="28" t="s">
        <v>32</v>
      </c>
      <c r="D14" s="27" t="s">
        <v>33</v>
      </c>
    </row>
    <row r="15" spans="2:15" ht="13">
      <c r="C15" s="28" t="s">
        <v>34</v>
      </c>
      <c r="D15" s="27" t="s">
        <v>35</v>
      </c>
    </row>
    <row r="16" spans="2:15" ht="13">
      <c r="C16" s="28" t="s">
        <v>36</v>
      </c>
      <c r="D16" s="27" t="s">
        <v>37</v>
      </c>
    </row>
    <row r="17" spans="1:4" ht="25">
      <c r="C17" s="28" t="s">
        <v>38</v>
      </c>
      <c r="D17" s="31" t="s">
        <v>39</v>
      </c>
    </row>
    <row r="19" spans="1:4" ht="29.15" customHeight="1">
      <c r="C19" s="87" t="s">
        <v>40</v>
      </c>
      <c r="D19" s="88"/>
    </row>
    <row r="20" spans="1:4" ht="25">
      <c r="C20" s="32" t="s">
        <v>28</v>
      </c>
      <c r="D20" s="27" t="s">
        <v>41</v>
      </c>
    </row>
    <row r="21" spans="1:4" ht="39" customHeight="1">
      <c r="C21" s="33" t="s">
        <v>42</v>
      </c>
      <c r="D21" s="27" t="s">
        <v>43</v>
      </c>
    </row>
    <row r="22" spans="1:4" ht="46.5" customHeight="1">
      <c r="C22" s="32" t="s">
        <v>32</v>
      </c>
      <c r="D22" s="27" t="s">
        <v>44</v>
      </c>
    </row>
    <row r="23" spans="1:4" ht="37.5">
      <c r="C23" s="32" t="s">
        <v>45</v>
      </c>
      <c r="D23" s="27" t="s">
        <v>46</v>
      </c>
    </row>
    <row r="24" spans="1:4" ht="25">
      <c r="A24" s="34"/>
      <c r="B24" s="34"/>
      <c r="C24" s="32" t="s">
        <v>47</v>
      </c>
      <c r="D24" s="27" t="s">
        <v>48</v>
      </c>
    </row>
    <row r="25" spans="1:4" ht="125">
      <c r="C25" s="32" t="s">
        <v>49</v>
      </c>
      <c r="D25" s="27" t="s">
        <v>50</v>
      </c>
    </row>
    <row r="28" spans="1:4" ht="354.75" customHeight="1"/>
    <row r="32" spans="1:4" ht="360.75" customHeight="1"/>
    <row r="34" ht="153" customHeight="1"/>
    <row r="37" ht="33" customHeight="1"/>
    <row r="38" ht="33" customHeight="1"/>
    <row r="39" ht="25.5" customHeight="1"/>
    <row r="40" ht="25.5" customHeight="1"/>
    <row r="41" ht="18" customHeight="1"/>
    <row r="42" ht="25.5" customHeight="1"/>
    <row r="43" ht="25.5" customHeight="1"/>
  </sheetData>
  <sheetProtection selectLockedCells="1" selectUnlockedCells="1"/>
  <mergeCells count="4">
    <mergeCell ref="B1:H1"/>
    <mergeCell ref="C4:D4"/>
    <mergeCell ref="C6:D6"/>
    <mergeCell ref="C19:D19"/>
  </mergeCells>
  <dataValidations count="2">
    <dataValidation type="list" allowBlank="1" showInputMessage="1" showErrorMessage="1" sqref="D1:G1">
      <formula1>"Simple,Average,Complex"</formula1>
    </dataValidation>
    <dataValidation type="list" allowBlank="1" showInputMessage="1" showErrorMessage="1" sqref="H1">
      <formula1>"Functional, External Interface, User Interface,System Interface, Non functional"</formula1>
    </dataValidation>
  </dataValidations>
  <pageMargins left="0.75" right="0.75" top="1" bottom="1" header="0.5" footer="0.5"/>
  <pageSetup paperSize="9" orientation="portrait"/>
  <headerFooter alignWithMargins="0">
    <oddFooter>&amp;RPage &amp;P of &amp;N</oddFooter>
  </headerFooter>
  <drawing r:id="rId1"/>
</worksheet>
</file>

<file path=xl/worksheets/sheet3.xml><?xml version="1.0" encoding="utf-8"?>
<worksheet xmlns="http://schemas.openxmlformats.org/spreadsheetml/2006/main" xmlns:r="http://schemas.openxmlformats.org/officeDocument/2006/relationships">
  <dimension ref="A1:N19"/>
  <sheetViews>
    <sheetView tabSelected="1" workbookViewId="0">
      <pane ySplit="3" topLeftCell="A4" activePane="bottomLeft" state="frozen"/>
      <selection pane="bottomLeft" activeCell="E4" sqref="E4"/>
    </sheetView>
  </sheetViews>
  <sheetFormatPr defaultColWidth="8.90625" defaultRowHeight="11.5"/>
  <cols>
    <col min="1" max="1" width="13.90625" style="10" customWidth="1"/>
    <col min="2" max="3" width="17.453125" style="10" customWidth="1"/>
    <col min="4" max="4" width="20" style="10" customWidth="1"/>
    <col min="5" max="5" width="40.453125" style="10" customWidth="1"/>
    <col min="6" max="8" width="14.90625" style="10" customWidth="1"/>
    <col min="9" max="9" width="8.90625" style="10"/>
    <col min="10" max="10" width="8.36328125" style="11" customWidth="1"/>
    <col min="11" max="11" width="7.6328125" style="10" customWidth="1"/>
    <col min="12" max="16384" width="8.90625" style="10"/>
  </cols>
  <sheetData>
    <row r="1" spans="1:14" s="7" customFormat="1" ht="57" customHeight="1">
      <c r="A1" s="91" t="s">
        <v>114</v>
      </c>
      <c r="B1" s="92"/>
      <c r="C1" s="92"/>
      <c r="D1" s="92"/>
      <c r="E1" s="92"/>
      <c r="F1" s="92"/>
      <c r="G1" s="12"/>
      <c r="H1" s="13"/>
      <c r="I1" s="20"/>
      <c r="J1" s="20"/>
      <c r="K1" s="20"/>
      <c r="L1" s="20"/>
      <c r="M1" s="21"/>
      <c r="N1" s="21"/>
    </row>
    <row r="2" spans="1:14" s="8" customFormat="1" ht="15.75" customHeight="1">
      <c r="A2" s="93"/>
      <c r="B2" s="93"/>
      <c r="C2" s="93"/>
      <c r="D2" s="93"/>
      <c r="E2" s="93"/>
      <c r="F2" s="93"/>
      <c r="G2" s="93"/>
      <c r="H2" s="94"/>
      <c r="I2" s="95" t="s">
        <v>32</v>
      </c>
      <c r="J2" s="95"/>
      <c r="K2" s="95"/>
      <c r="L2" s="95"/>
      <c r="M2" s="9"/>
    </row>
    <row r="3" spans="1:14" s="9" customFormat="1" ht="39">
      <c r="A3" s="14" t="s">
        <v>51</v>
      </c>
      <c r="B3" s="14" t="s">
        <v>20</v>
      </c>
      <c r="C3" s="14" t="s">
        <v>22</v>
      </c>
      <c r="D3" s="14" t="s">
        <v>24</v>
      </c>
      <c r="E3" s="14" t="s">
        <v>26</v>
      </c>
      <c r="F3" s="15" t="s">
        <v>52</v>
      </c>
      <c r="G3" s="15" t="s">
        <v>28</v>
      </c>
      <c r="H3" s="15" t="s">
        <v>53</v>
      </c>
      <c r="I3" s="22" t="s">
        <v>32</v>
      </c>
      <c r="J3" s="22" t="s">
        <v>34</v>
      </c>
      <c r="K3" s="22" t="s">
        <v>36</v>
      </c>
      <c r="L3" s="22" t="s">
        <v>38</v>
      </c>
    </row>
    <row r="4" spans="1:14" ht="184">
      <c r="A4" s="16" t="s">
        <v>54</v>
      </c>
      <c r="B4" s="16" t="s">
        <v>92</v>
      </c>
      <c r="C4" s="16" t="s">
        <v>116</v>
      </c>
      <c r="D4" s="16" t="s">
        <v>117</v>
      </c>
      <c r="E4" s="16" t="s">
        <v>118</v>
      </c>
      <c r="F4" s="16" t="s">
        <v>55</v>
      </c>
      <c r="G4" s="17" t="s">
        <v>56</v>
      </c>
      <c r="H4" s="16">
        <v>5</v>
      </c>
      <c r="I4" s="16"/>
      <c r="J4" s="16"/>
      <c r="K4" s="16"/>
      <c r="L4" s="16"/>
    </row>
    <row r="5" spans="1:14" ht="92">
      <c r="A5" s="16" t="s">
        <v>57</v>
      </c>
      <c r="B5" s="16" t="s">
        <v>58</v>
      </c>
      <c r="C5" s="16" t="s">
        <v>59</v>
      </c>
      <c r="D5" s="16" t="s">
        <v>93</v>
      </c>
      <c r="E5" s="16" t="s">
        <v>60</v>
      </c>
      <c r="F5" s="16" t="s">
        <v>55</v>
      </c>
      <c r="G5" s="17" t="s">
        <v>56</v>
      </c>
      <c r="H5" s="16">
        <v>8</v>
      </c>
      <c r="I5" s="16"/>
      <c r="J5" s="16"/>
      <c r="K5" s="16"/>
      <c r="L5" s="16"/>
    </row>
    <row r="6" spans="1:14" ht="126.5">
      <c r="A6" s="16" t="s">
        <v>61</v>
      </c>
      <c r="B6" s="16" t="s">
        <v>94</v>
      </c>
      <c r="C6" s="16" t="s">
        <v>95</v>
      </c>
      <c r="D6" s="16" t="s">
        <v>119</v>
      </c>
      <c r="E6" s="16" t="s">
        <v>120</v>
      </c>
      <c r="F6" s="16" t="s">
        <v>55</v>
      </c>
      <c r="G6" s="17" t="s">
        <v>56</v>
      </c>
      <c r="H6" s="16">
        <v>13</v>
      </c>
      <c r="I6" s="16"/>
      <c r="J6" s="16"/>
      <c r="K6" s="16"/>
      <c r="L6" s="16"/>
    </row>
    <row r="7" spans="1:14" ht="161">
      <c r="A7" s="18" t="s">
        <v>63</v>
      </c>
      <c r="B7" s="18" t="s">
        <v>65</v>
      </c>
      <c r="C7" s="18" t="s">
        <v>62</v>
      </c>
      <c r="D7" s="18" t="s">
        <v>96</v>
      </c>
      <c r="E7" s="18" t="s">
        <v>131</v>
      </c>
      <c r="F7" s="18" t="s">
        <v>66</v>
      </c>
      <c r="G7" s="19" t="s">
        <v>56</v>
      </c>
      <c r="H7" s="18">
        <v>13</v>
      </c>
      <c r="I7" s="16"/>
      <c r="J7" s="16"/>
      <c r="K7" s="16"/>
      <c r="L7" s="16"/>
    </row>
    <row r="8" spans="1:14" ht="149.5">
      <c r="A8" s="18" t="s">
        <v>64</v>
      </c>
      <c r="B8" s="18" t="s">
        <v>67</v>
      </c>
      <c r="C8" s="18" t="s">
        <v>62</v>
      </c>
      <c r="D8" s="18" t="s">
        <v>97</v>
      </c>
      <c r="E8" s="18" t="s">
        <v>132</v>
      </c>
      <c r="F8" s="18" t="s">
        <v>55</v>
      </c>
      <c r="G8" s="19" t="s">
        <v>68</v>
      </c>
      <c r="H8" s="18">
        <v>13</v>
      </c>
      <c r="I8" s="16"/>
      <c r="J8" s="16"/>
      <c r="K8" s="16"/>
      <c r="L8" s="16"/>
    </row>
    <row r="9" spans="1:14" ht="34.5">
      <c r="A9" s="19" t="s">
        <v>113</v>
      </c>
      <c r="B9" s="18" t="s">
        <v>74</v>
      </c>
      <c r="C9" s="18" t="s">
        <v>62</v>
      </c>
      <c r="D9" s="18" t="s">
        <v>98</v>
      </c>
      <c r="E9" s="18" t="s">
        <v>75</v>
      </c>
      <c r="F9" s="18" t="s">
        <v>55</v>
      </c>
      <c r="G9" s="19" t="s">
        <v>68</v>
      </c>
      <c r="H9" s="18">
        <v>8</v>
      </c>
      <c r="I9" s="16"/>
      <c r="J9" s="16"/>
      <c r="K9" s="16"/>
      <c r="L9" s="16"/>
    </row>
    <row r="10" spans="1:14" ht="34.5">
      <c r="A10" s="16" t="s">
        <v>69</v>
      </c>
      <c r="B10" s="16" t="s">
        <v>99</v>
      </c>
      <c r="C10" s="16" t="s">
        <v>62</v>
      </c>
      <c r="D10" s="16" t="s">
        <v>98</v>
      </c>
      <c r="E10" s="16" t="s">
        <v>100</v>
      </c>
      <c r="F10" s="16" t="s">
        <v>55</v>
      </c>
      <c r="G10" s="17" t="s">
        <v>68</v>
      </c>
      <c r="H10" s="18">
        <v>8</v>
      </c>
      <c r="I10" s="16"/>
      <c r="J10" s="16"/>
      <c r="K10" s="16"/>
      <c r="L10" s="16"/>
    </row>
    <row r="11" spans="1:14" ht="57.5">
      <c r="A11" s="19" t="s">
        <v>70</v>
      </c>
      <c r="B11" s="18" t="s">
        <v>101</v>
      </c>
      <c r="C11" s="18" t="s">
        <v>62</v>
      </c>
      <c r="D11" s="18" t="s">
        <v>124</v>
      </c>
      <c r="E11" s="18" t="s">
        <v>121</v>
      </c>
      <c r="F11" s="18" t="s">
        <v>55</v>
      </c>
      <c r="G11" s="19" t="s">
        <v>77</v>
      </c>
      <c r="H11" s="18">
        <v>13</v>
      </c>
      <c r="I11" s="16"/>
      <c r="J11" s="16"/>
      <c r="K11" s="16"/>
      <c r="L11" s="16"/>
    </row>
    <row r="12" spans="1:14" ht="138">
      <c r="A12" s="19" t="s">
        <v>71</v>
      </c>
      <c r="B12" s="18" t="s">
        <v>102</v>
      </c>
      <c r="C12" s="18" t="s">
        <v>62</v>
      </c>
      <c r="D12" s="18" t="s">
        <v>123</v>
      </c>
      <c r="E12" s="69" t="s">
        <v>133</v>
      </c>
      <c r="F12" s="18" t="s">
        <v>55</v>
      </c>
      <c r="G12" s="19" t="s">
        <v>77</v>
      </c>
      <c r="H12" s="18">
        <v>13</v>
      </c>
      <c r="I12" s="16"/>
      <c r="J12" s="16"/>
      <c r="K12" s="16"/>
      <c r="L12" s="16"/>
    </row>
    <row r="13" spans="1:14" ht="149.5">
      <c r="A13" s="19" t="s">
        <v>73</v>
      </c>
      <c r="B13" s="18" t="s">
        <v>103</v>
      </c>
      <c r="C13" s="18" t="s">
        <v>62</v>
      </c>
      <c r="D13" s="18" t="s">
        <v>122</v>
      </c>
      <c r="E13" s="18" t="s">
        <v>134</v>
      </c>
      <c r="F13" s="18" t="s">
        <v>55</v>
      </c>
      <c r="G13" s="19" t="s">
        <v>77</v>
      </c>
      <c r="H13" s="18">
        <v>13</v>
      </c>
      <c r="I13" s="16"/>
      <c r="J13" s="16"/>
      <c r="K13" s="16"/>
      <c r="L13" s="16"/>
    </row>
    <row r="14" spans="1:14" ht="46">
      <c r="A14" s="10" t="s">
        <v>76</v>
      </c>
      <c r="B14" s="10" t="s">
        <v>104</v>
      </c>
      <c r="C14" s="10" t="s">
        <v>62</v>
      </c>
      <c r="D14" s="10" t="s">
        <v>105</v>
      </c>
      <c r="E14" s="10" t="s">
        <v>135</v>
      </c>
      <c r="F14" s="18" t="s">
        <v>55</v>
      </c>
      <c r="G14" s="19" t="s">
        <v>77</v>
      </c>
      <c r="H14" s="18">
        <v>13</v>
      </c>
      <c r="I14" s="16"/>
      <c r="J14" s="16"/>
      <c r="K14" s="16"/>
      <c r="L14" s="16"/>
    </row>
    <row r="15" spans="1:14" ht="34.5">
      <c r="A15" s="10" t="s">
        <v>78</v>
      </c>
      <c r="B15" s="10" t="s">
        <v>106</v>
      </c>
      <c r="C15" s="10" t="s">
        <v>62</v>
      </c>
      <c r="D15" s="10" t="s">
        <v>125</v>
      </c>
      <c r="E15" s="10" t="s">
        <v>126</v>
      </c>
      <c r="F15" s="18" t="s">
        <v>55</v>
      </c>
      <c r="G15" s="19" t="s">
        <v>77</v>
      </c>
      <c r="H15" s="18">
        <v>8</v>
      </c>
      <c r="I15" s="16"/>
      <c r="J15" s="16"/>
      <c r="K15" s="16"/>
      <c r="L15" s="16"/>
    </row>
    <row r="16" spans="1:14" ht="46">
      <c r="A16" s="10" t="s">
        <v>79</v>
      </c>
      <c r="B16" s="10" t="s">
        <v>107</v>
      </c>
      <c r="C16" s="10" t="s">
        <v>59</v>
      </c>
      <c r="D16" s="10" t="s">
        <v>127</v>
      </c>
      <c r="E16" s="10" t="s">
        <v>110</v>
      </c>
      <c r="F16" s="18" t="s">
        <v>55</v>
      </c>
      <c r="G16" s="19" t="s">
        <v>81</v>
      </c>
      <c r="H16" s="18">
        <v>13</v>
      </c>
      <c r="I16" s="16"/>
      <c r="J16" s="16"/>
      <c r="K16" s="16"/>
      <c r="L16" s="16"/>
    </row>
    <row r="17" spans="1:12" ht="126.5">
      <c r="A17" s="10" t="s">
        <v>80</v>
      </c>
      <c r="B17" s="10" t="s">
        <v>108</v>
      </c>
      <c r="C17" s="10" t="s">
        <v>59</v>
      </c>
      <c r="D17" s="10" t="s">
        <v>128</v>
      </c>
      <c r="E17" s="10" t="s">
        <v>129</v>
      </c>
      <c r="F17" s="18" t="s">
        <v>55</v>
      </c>
      <c r="G17" s="19" t="s">
        <v>81</v>
      </c>
      <c r="H17" s="18">
        <v>13</v>
      </c>
      <c r="I17" s="16"/>
      <c r="J17" s="16"/>
      <c r="K17" s="16"/>
      <c r="L17" s="16"/>
    </row>
    <row r="18" spans="1:12" ht="69">
      <c r="A18" s="10" t="s">
        <v>82</v>
      </c>
      <c r="B18" s="10" t="s">
        <v>109</v>
      </c>
      <c r="C18" s="10" t="s">
        <v>59</v>
      </c>
      <c r="D18" s="10" t="s">
        <v>111</v>
      </c>
      <c r="E18" s="10" t="s">
        <v>130</v>
      </c>
      <c r="F18" s="18" t="s">
        <v>55</v>
      </c>
      <c r="G18" s="19" t="s">
        <v>81</v>
      </c>
      <c r="H18" s="18">
        <v>13</v>
      </c>
      <c r="I18" s="16"/>
      <c r="J18" s="16"/>
      <c r="K18" s="16"/>
      <c r="L18" s="16"/>
    </row>
    <row r="19" spans="1:12" ht="34.5">
      <c r="A19" s="10" t="s">
        <v>83</v>
      </c>
      <c r="B19" s="10" t="s">
        <v>112</v>
      </c>
      <c r="C19" s="10" t="s">
        <v>59</v>
      </c>
      <c r="D19" s="10" t="s">
        <v>72</v>
      </c>
      <c r="E19" s="18" t="s">
        <v>115</v>
      </c>
      <c r="F19" s="18" t="s">
        <v>55</v>
      </c>
      <c r="G19" s="19" t="s">
        <v>81</v>
      </c>
      <c r="H19" s="18">
        <v>13</v>
      </c>
      <c r="I19" s="16"/>
      <c r="J19" s="16"/>
      <c r="K19" s="16"/>
      <c r="L19" s="16"/>
    </row>
  </sheetData>
  <sheetProtection selectLockedCells="1"/>
  <mergeCells count="3">
    <mergeCell ref="A1:F1"/>
    <mergeCell ref="A2:H2"/>
    <mergeCell ref="I2:L2"/>
  </mergeCells>
  <conditionalFormatting sqref="E20:H20 D20:D28 A4:B19 D4:E19 A8:E10 A12:E19 A13:H19 B11:H19">
    <cfRule type="expression" dxfId="1" priority="2">
      <formula>#REF!="rejected"</formula>
    </cfRule>
  </conditionalFormatting>
  <conditionalFormatting sqref="A72:H1048576 A20:G71 H23:I25 E22:I22">
    <cfRule type="expression" dxfId="0" priority="6">
      <formula>#REF!="rejected"</formula>
    </cfRule>
  </conditionalFormatting>
  <dataValidations count="3">
    <dataValidation type="list" allowBlank="1" showInputMessage="1" showErrorMessage="1" sqref="I20:I78 I4:J19">
      <formula1>"Yes,No"</formula1>
    </dataValidation>
    <dataValidation type="list" allowBlank="1" showInputMessage="1" showErrorMessage="1" sqref="H1">
      <formula1>"Functional, External Interface, User Interface,System Interface, Non functional"</formula1>
    </dataValidation>
    <dataValidation type="list" allowBlank="1" showInputMessage="1" showErrorMessage="1" sqref="H4:H71 L4:L70">
      <formula1>"1,2,3,5,8,13,21"</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dimension ref="A1:G29"/>
  <sheetViews>
    <sheetView workbookViewId="0">
      <selection activeCell="D10" sqref="D10"/>
    </sheetView>
  </sheetViews>
  <sheetFormatPr defaultColWidth="8.90625" defaultRowHeight="12.5"/>
  <cols>
    <col min="1" max="1" width="8.90625" style="1"/>
    <col min="2" max="2" width="10.90625" style="1" customWidth="1"/>
    <col min="3" max="3" width="9.453125" style="1" customWidth="1"/>
    <col min="4" max="4" width="12.453125" style="1" customWidth="1"/>
    <col min="5" max="5" width="11.08984375" style="1" customWidth="1"/>
    <col min="6" max="7" width="8.90625" style="2"/>
    <col min="8" max="16384" width="8.90625" style="1"/>
  </cols>
  <sheetData>
    <row r="1" spans="1:7" ht="25">
      <c r="A1" s="3" t="s">
        <v>84</v>
      </c>
    </row>
    <row r="2" spans="1:7">
      <c r="A2" s="98" t="s">
        <v>85</v>
      </c>
      <c r="B2" s="98"/>
      <c r="C2" s="98"/>
      <c r="D2" s="98"/>
    </row>
    <row r="4" spans="1:7" ht="15" customHeight="1">
      <c r="A4" s="99" t="s">
        <v>28</v>
      </c>
      <c r="B4" s="99" t="s">
        <v>86</v>
      </c>
      <c r="C4" s="99"/>
      <c r="D4" s="99"/>
      <c r="E4" s="101" t="s">
        <v>47</v>
      </c>
      <c r="F4" s="96" t="s">
        <v>87</v>
      </c>
      <c r="G4" s="96" t="s">
        <v>88</v>
      </c>
    </row>
    <row r="5" spans="1:7" ht="13">
      <c r="A5" s="100"/>
      <c r="B5" s="4" t="s">
        <v>89</v>
      </c>
      <c r="C5" s="4" t="s">
        <v>32</v>
      </c>
      <c r="D5" s="4" t="s">
        <v>45</v>
      </c>
      <c r="E5" s="102"/>
      <c r="F5" s="97"/>
      <c r="G5" s="97"/>
    </row>
    <row r="6" spans="1:7">
      <c r="A6" s="5">
        <v>1</v>
      </c>
      <c r="B6" s="6">
        <v>100</v>
      </c>
      <c r="C6" s="6">
        <v>75</v>
      </c>
      <c r="D6" s="1">
        <v>0</v>
      </c>
      <c r="E6" s="1" t="str">
        <f t="shared" ref="E6:E7" si="0">ROUND((C6/(C6+B6))*100,0)&amp;"%"</f>
        <v>43%</v>
      </c>
      <c r="F6" s="2">
        <f>-D6</f>
        <v>0</v>
      </c>
      <c r="G6" s="2">
        <f>B6-D6</f>
        <v>100</v>
      </c>
    </row>
    <row r="7" spans="1:7">
      <c r="A7" s="5">
        <v>2</v>
      </c>
      <c r="B7" s="6">
        <v>170</v>
      </c>
      <c r="C7" s="6">
        <v>150</v>
      </c>
      <c r="D7" s="1">
        <f t="shared" ref="D7" si="1">((B7+C7)-(B6+C6)+D6)</f>
        <v>145</v>
      </c>
      <c r="E7" s="1" t="str">
        <f t="shared" si="0"/>
        <v>47%</v>
      </c>
      <c r="F7" s="2">
        <f>-D7</f>
        <v>-145</v>
      </c>
      <c r="G7" s="2">
        <f>B7-D7</f>
        <v>25</v>
      </c>
    </row>
    <row r="8" spans="1:7">
      <c r="A8" s="5">
        <v>3</v>
      </c>
      <c r="B8" s="6">
        <v>190</v>
      </c>
      <c r="C8" s="6">
        <v>120</v>
      </c>
      <c r="D8" s="1">
        <f t="shared" ref="D8" si="2">((B8+C8)-(B7+C7)+D7)</f>
        <v>135</v>
      </c>
      <c r="E8" s="1" t="str">
        <f t="shared" ref="E8" si="3">ROUND((C8/(C8+B8))*100,0)&amp;"%"</f>
        <v>39%</v>
      </c>
      <c r="F8" s="2">
        <f>-D8</f>
        <v>-135</v>
      </c>
      <c r="G8" s="2">
        <f>B8-D8</f>
        <v>55</v>
      </c>
    </row>
    <row r="28" spans="3:3">
      <c r="C28" s="1" t="s">
        <v>90</v>
      </c>
    </row>
    <row r="29" spans="3:3">
      <c r="C29" s="1" t="s">
        <v>91</v>
      </c>
    </row>
  </sheetData>
  <sheetProtection selectLockedCells="1"/>
  <mergeCells count="6">
    <mergeCell ref="G4:G5"/>
    <mergeCell ref="A2:D2"/>
    <mergeCell ref="B4:D4"/>
    <mergeCell ref="A4:A5"/>
    <mergeCell ref="E4:E5"/>
    <mergeCell ref="F4:F5"/>
  </mergeCells>
  <dataValidations count="1">
    <dataValidation type="list" allowBlank="1" showInputMessage="1" showErrorMessage="1" sqref="E28">
      <formula1>$C$28:$C$30</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dimension ref="A1:A11"/>
  <sheetViews>
    <sheetView workbookViewId="0">
      <selection activeCell="G29" sqref="G29"/>
    </sheetView>
  </sheetViews>
  <sheetFormatPr defaultColWidth="11.453125" defaultRowHeight="14.5"/>
  <sheetData>
    <row r="1" spans="1:1">
      <c r="A1">
        <v>0</v>
      </c>
    </row>
    <row r="2" spans="1:1">
      <c r="A2">
        <v>5</v>
      </c>
    </row>
    <row r="3" spans="1:1">
      <c r="A3">
        <v>10</v>
      </c>
    </row>
    <row r="4" spans="1:1">
      <c r="A4">
        <v>20</v>
      </c>
    </row>
    <row r="5" spans="1:1">
      <c r="A5">
        <v>30</v>
      </c>
    </row>
    <row r="6" spans="1:1">
      <c r="A6">
        <v>50</v>
      </c>
    </row>
    <row r="7" spans="1:1">
      <c r="A7">
        <v>80</v>
      </c>
    </row>
    <row r="8" spans="1:1">
      <c r="A8">
        <v>130</v>
      </c>
    </row>
    <row r="9" spans="1:1">
      <c r="A9">
        <v>200</v>
      </c>
    </row>
    <row r="10" spans="1:1">
      <c r="A10">
        <v>400</v>
      </c>
    </row>
    <row r="11" spans="1:1">
      <c r="A11">
        <v>1000</v>
      </c>
    </row>
  </sheetData>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1" ma:contentTypeDescription="Create a new document." ma:contentTypeScope="" ma:versionID="21d22ff45c5bcee3e13d2da0d2eaf86f">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8b7f95d062efb1de1c26afcaa392f390"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0C9F9C-98B5-480F-B2D6-CAE7CFAF013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575168F-6331-41DA-B879-8152475B9854}">
  <ds:schemaRefs>
    <ds:schemaRef ds:uri="http://schemas.microsoft.com/sharepoint/v3/contenttype/forms"/>
  </ds:schemaRefs>
</ds:datastoreItem>
</file>

<file path=customXml/itemProps3.xml><?xml version="1.0" encoding="utf-8"?>
<ds:datastoreItem xmlns:ds="http://schemas.openxmlformats.org/officeDocument/2006/customXml" ds:itemID="{03700393-48F7-455D-AD44-BC387F1A2A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c52b12-2228-488c-9d59-8a93d308b64e"/>
    <ds:schemaRef ds:uri="951c5514-b77c-4532-82d5-a05f2f7d5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5</vt:i4>
      </vt:variant>
    </vt:vector>
  </HeadingPairs>
  <TitlesOfParts>
    <vt:vector size="5" baseType="lpstr">
      <vt:lpstr>Cover Page</vt:lpstr>
      <vt:lpstr>Instructions</vt:lpstr>
      <vt:lpstr>Backlog</vt:lpstr>
      <vt:lpstr>Charts</vt:lpstr>
      <vt:lpstr>Sheet1</vt:lpstr>
    </vt:vector>
  </TitlesOfParts>
  <Company>NPS Limited</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Heasley</dc:creator>
  <cp:lastModifiedBy>Windows User</cp:lastModifiedBy>
  <cp:revision/>
  <dcterms:created xsi:type="dcterms:W3CDTF">2014-04-10T04:38:00Z</dcterms:created>
  <dcterms:modified xsi:type="dcterms:W3CDTF">2022-07-22T13:49:08Z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ICV">
    <vt:lpwstr>E2CAE5E51E8B4FD095DE11DA42B85204</vt:lpwstr>
  </property>
  <property fmtid="{D5CDD505-2E9C-101B-9397-08002B2CF9AE}" pid="8" name="KSOProductBuildVer">
    <vt:lpwstr>1033-11.2.0.11130</vt:lpwstr>
  </property>
</Properties>
</file>